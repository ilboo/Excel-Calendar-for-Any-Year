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customXml/itemProps1.xml" ContentType="application/vnd.openxmlformats-officedocument.customXmlProperties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480" yWindow="120" windowWidth="11355" windowHeight="8700"/>
  </bookViews>
  <sheets>
    <sheet name="OntarioCalendar" sheetId="18" r:id="rId1"/>
  </sheets>
  <functionGroups/>
  <definedNames>
    <definedName name="_xlnm._FilterDatabase" localSheetId="0" hidden="1">OntarioCalendar!$S$3:$U$3</definedName>
    <definedName name="Apr">OntarioCalendar!$J$14:$P$19</definedName>
    <definedName name="AprSun1">DATE(CalendarYear,4,1)-WEEKDAY(DATE(CalendarYear,4,1))</definedName>
    <definedName name="Aug">OntarioCalendar!$J$32:$P$37</definedName>
    <definedName name="AugSun1">DATE(CalendarYear,8,1)-WEEKDAY(DATE(CalendarYear,8,1))</definedName>
    <definedName name="CalendarYear">OntarioCalendar!$B$1</definedName>
    <definedName name="Dec">OntarioCalendar!$J$50:$P$55</definedName>
    <definedName name="DecSun1">DATE(CalendarYear,12,1)-WEEKDAY(DATE(CalendarYear,12,1))</definedName>
    <definedName name="Feb">OntarioCalendar!$J$5:$P$10</definedName>
    <definedName name="FebSun1">DATE(CalendarYear,2,1)-WEEKDAY(DATE(CalendarYear,2,1))</definedName>
    <definedName name="Jan">OntarioCalendar!$B$5:$H$10</definedName>
    <definedName name="JanSun1">DATE(CalendarYear,1,1)-WEEKDAY(DATE(CalendarYear,1,1))</definedName>
    <definedName name="Jul">OntarioCalendar!$B$32:$H$37</definedName>
    <definedName name="JulSun1">DATE(CalendarYear,7,1)-WEEKDAY(DATE(CalendarYear,7,1))</definedName>
    <definedName name="Jun">OntarioCalendar!$J$23:$P$28</definedName>
    <definedName name="JunSun1">DATE(CalendarYear,6,1)-WEEKDAY(DATE(CalendarYear,6,1))</definedName>
    <definedName name="Mar">OntarioCalendar!$B$14:$H$19</definedName>
    <definedName name="MarSun1">DATE(CalendarYear,3,1)-WEEKDAY(DATE(CalendarYear,3,1))</definedName>
    <definedName name="May">OntarioCalendar!$B$23:$H$28</definedName>
    <definedName name="MaySun1">DATE(CalendarYear,5,1)-WEEKDAY(DATE(CalendarYear,5,1))</definedName>
    <definedName name="Nov">OntarioCalendar!$B$50:$H$55</definedName>
    <definedName name="NovSun1">DATE(CalendarYear,11,1)-WEEKDAY(DATE(CalendarYear,11,1))</definedName>
    <definedName name="Oct">OntarioCalendar!$J$41:$P$46</definedName>
    <definedName name="OctSun1">DATE(CalendarYear,10,1)-WEEKDAY(DATE(CalendarYear,10,1))</definedName>
    <definedName name="_xlnm.Print_Area" localSheetId="0">OntarioCalendar!$B$3:$P$55</definedName>
    <definedName name="Sep">OntarioCalendar!$B$41:$H$46</definedName>
    <definedName name="SepSun1">DATE(CalendarYear,9,1)-WEEKDAY(DATE(CalendarYear,9,1))</definedName>
  </definedNames>
  <calcPr calcId="125725"/>
</workbook>
</file>

<file path=xl/calcChain.xml><?xml version="1.0" encoding="utf-8"?>
<calcChain xmlns="http://schemas.openxmlformats.org/spreadsheetml/2006/main">
  <c r="B5" i="18"/>
  <c r="C5"/>
  <c r="D5"/>
  <c r="E5"/>
  <c r="F5"/>
  <c r="G5"/>
  <c r="H5"/>
  <c r="B6"/>
  <c r="C6"/>
  <c r="D6"/>
  <c r="E6"/>
  <c r="F6"/>
  <c r="G6"/>
  <c r="H6"/>
  <c r="B7"/>
  <c r="C7"/>
  <c r="D7"/>
  <c r="E7"/>
  <c r="F7"/>
  <c r="G7"/>
  <c r="H7"/>
  <c r="B8"/>
  <c r="C8"/>
  <c r="D8"/>
  <c r="E8"/>
  <c r="F8"/>
  <c r="G8"/>
  <c r="H8"/>
  <c r="B9"/>
  <c r="C9"/>
  <c r="D9"/>
  <c r="E9"/>
  <c r="F9"/>
  <c r="G9"/>
  <c r="H9"/>
  <c r="B10"/>
  <c r="C10"/>
  <c r="D10"/>
  <c r="E10"/>
  <c r="F10"/>
  <c r="G10"/>
  <c r="H10"/>
  <c r="J5"/>
  <c r="K5"/>
  <c r="L5"/>
  <c r="M5"/>
  <c r="N5"/>
  <c r="O5"/>
  <c r="P5"/>
  <c r="J6"/>
  <c r="K6"/>
  <c r="L6"/>
  <c r="M6"/>
  <c r="N6"/>
  <c r="O6"/>
  <c r="P6"/>
  <c r="J7"/>
  <c r="K7"/>
  <c r="L7"/>
  <c r="M7"/>
  <c r="N7"/>
  <c r="O7"/>
  <c r="P7"/>
  <c r="J8"/>
  <c r="K8"/>
  <c r="L8"/>
  <c r="M8"/>
  <c r="N8"/>
  <c r="O8"/>
  <c r="P8"/>
  <c r="J9"/>
  <c r="K9"/>
  <c r="L9"/>
  <c r="M9"/>
  <c r="N9"/>
  <c r="O9"/>
  <c r="P9"/>
  <c r="J10"/>
  <c r="K10"/>
  <c r="L10"/>
  <c r="M10"/>
  <c r="N10"/>
  <c r="O10"/>
  <c r="P10"/>
  <c r="B14"/>
  <c r="C14"/>
  <c r="D14"/>
  <c r="E14"/>
  <c r="F14"/>
  <c r="G14"/>
  <c r="H14"/>
  <c r="B15"/>
  <c r="C15"/>
  <c r="D15"/>
  <c r="E15"/>
  <c r="F15"/>
  <c r="G15"/>
  <c r="H15"/>
  <c r="B16"/>
  <c r="C16"/>
  <c r="D16"/>
  <c r="E16"/>
  <c r="F16"/>
  <c r="G16"/>
  <c r="H16"/>
  <c r="B17"/>
  <c r="C17"/>
  <c r="D17"/>
  <c r="E17"/>
  <c r="F17"/>
  <c r="G17"/>
  <c r="H17"/>
  <c r="B18"/>
  <c r="C18"/>
  <c r="D18"/>
  <c r="E18"/>
  <c r="F18"/>
  <c r="G18"/>
  <c r="H18"/>
  <c r="B19"/>
  <c r="C19"/>
  <c r="D19"/>
  <c r="E19"/>
  <c r="F19"/>
  <c r="G19"/>
  <c r="H19"/>
  <c r="J14"/>
  <c r="K14"/>
  <c r="L14"/>
  <c r="M14"/>
  <c r="N14"/>
  <c r="O14"/>
  <c r="P14"/>
  <c r="J15"/>
  <c r="K15"/>
  <c r="L15"/>
  <c r="M15"/>
  <c r="N15"/>
  <c r="O15"/>
  <c r="P15"/>
  <c r="J16"/>
  <c r="K16"/>
  <c r="L16"/>
  <c r="M16"/>
  <c r="N16"/>
  <c r="O16"/>
  <c r="P16"/>
  <c r="J17"/>
  <c r="K17"/>
  <c r="L17"/>
  <c r="M17"/>
  <c r="N17"/>
  <c r="O17"/>
  <c r="P17"/>
  <c r="J18"/>
  <c r="K18"/>
  <c r="L18"/>
  <c r="M18"/>
  <c r="N18"/>
  <c r="O18"/>
  <c r="P18"/>
  <c r="J19"/>
  <c r="K19"/>
  <c r="L19"/>
  <c r="M19"/>
  <c r="N19"/>
  <c r="O19"/>
  <c r="P19"/>
  <c r="B23"/>
  <c r="C23"/>
  <c r="D23"/>
  <c r="E23"/>
  <c r="F23"/>
  <c r="G23"/>
  <c r="H23"/>
  <c r="B24"/>
  <c r="C24"/>
  <c r="D24"/>
  <c r="E24"/>
  <c r="F24"/>
  <c r="G24"/>
  <c r="H24"/>
  <c r="B25"/>
  <c r="C25"/>
  <c r="D25"/>
  <c r="E25"/>
  <c r="F25"/>
  <c r="G25"/>
  <c r="H25"/>
  <c r="B26"/>
  <c r="C26"/>
  <c r="D26"/>
  <c r="E26"/>
  <c r="F26"/>
  <c r="G26"/>
  <c r="H26"/>
  <c r="B27"/>
  <c r="C27"/>
  <c r="D27"/>
  <c r="E27"/>
  <c r="F27"/>
  <c r="G27"/>
  <c r="H27"/>
  <c r="B28"/>
  <c r="C28"/>
  <c r="D28"/>
  <c r="E28"/>
  <c r="F28"/>
  <c r="G28"/>
  <c r="H28"/>
  <c r="J23"/>
  <c r="K23"/>
  <c r="L23"/>
  <c r="M23"/>
  <c r="N23"/>
  <c r="O23"/>
  <c r="P23"/>
  <c r="J24"/>
  <c r="K24"/>
  <c r="L24"/>
  <c r="M24"/>
  <c r="N24"/>
  <c r="O24"/>
  <c r="P24"/>
  <c r="J25"/>
  <c r="K25"/>
  <c r="L25"/>
  <c r="M25"/>
  <c r="N25"/>
  <c r="O25"/>
  <c r="P25"/>
  <c r="J26"/>
  <c r="K26"/>
  <c r="L26"/>
  <c r="M26"/>
  <c r="N26"/>
  <c r="O26"/>
  <c r="P26"/>
  <c r="J27"/>
  <c r="K27"/>
  <c r="L27"/>
  <c r="M27"/>
  <c r="N27"/>
  <c r="O27"/>
  <c r="P27"/>
  <c r="J28"/>
  <c r="K28"/>
  <c r="L28"/>
  <c r="M28"/>
  <c r="N28"/>
  <c r="O28"/>
  <c r="P28"/>
  <c r="B32"/>
  <c r="C32"/>
  <c r="D32"/>
  <c r="E32"/>
  <c r="F32"/>
  <c r="G32"/>
  <c r="H32"/>
  <c r="B33"/>
  <c r="C33"/>
  <c r="D33"/>
  <c r="E33"/>
  <c r="F33"/>
  <c r="G33"/>
  <c r="H33"/>
  <c r="B34"/>
  <c r="C34"/>
  <c r="D34"/>
  <c r="E34"/>
  <c r="F34"/>
  <c r="G34"/>
  <c r="H34"/>
  <c r="B35"/>
  <c r="C35"/>
  <c r="D35"/>
  <c r="E35"/>
  <c r="F35"/>
  <c r="G35"/>
  <c r="H35"/>
  <c r="B36"/>
  <c r="C36"/>
  <c r="D36"/>
  <c r="E36"/>
  <c r="F36"/>
  <c r="G36"/>
  <c r="H36"/>
  <c r="B37"/>
  <c r="C37"/>
  <c r="D37"/>
  <c r="E37"/>
  <c r="F37"/>
  <c r="G37"/>
  <c r="H37"/>
  <c r="J32"/>
  <c r="K32"/>
  <c r="L32"/>
  <c r="M32"/>
  <c r="N32"/>
  <c r="O32"/>
  <c r="P32"/>
  <c r="J33"/>
  <c r="K33"/>
  <c r="L33"/>
  <c r="M33"/>
  <c r="N33"/>
  <c r="O33"/>
  <c r="P33"/>
  <c r="J34"/>
  <c r="K34"/>
  <c r="L34"/>
  <c r="M34"/>
  <c r="N34"/>
  <c r="O34"/>
  <c r="P34"/>
  <c r="J35"/>
  <c r="K35"/>
  <c r="L35"/>
  <c r="M35"/>
  <c r="N35"/>
  <c r="O35"/>
  <c r="P35"/>
  <c r="J36"/>
  <c r="K36"/>
  <c r="L36"/>
  <c r="M36"/>
  <c r="N36"/>
  <c r="O36"/>
  <c r="P36"/>
  <c r="J37"/>
  <c r="K37"/>
  <c r="L37"/>
  <c r="M37"/>
  <c r="N37"/>
  <c r="O37"/>
  <c r="P37"/>
  <c r="B41"/>
  <c r="C41"/>
  <c r="D41"/>
  <c r="E41"/>
  <c r="F41"/>
  <c r="G41"/>
  <c r="H41"/>
  <c r="B42"/>
  <c r="C42"/>
  <c r="D42"/>
  <c r="E42"/>
  <c r="F42"/>
  <c r="G42"/>
  <c r="H42"/>
  <c r="B43"/>
  <c r="C43"/>
  <c r="D43"/>
  <c r="E43"/>
  <c r="F43"/>
  <c r="G43"/>
  <c r="H43"/>
  <c r="B44"/>
  <c r="C44"/>
  <c r="D44"/>
  <c r="E44"/>
  <c r="F44"/>
  <c r="G44"/>
  <c r="H44"/>
  <c r="B45"/>
  <c r="C45"/>
  <c r="D45"/>
  <c r="E45"/>
  <c r="F45"/>
  <c r="G45"/>
  <c r="H45"/>
  <c r="B46"/>
  <c r="C46"/>
  <c r="D46"/>
  <c r="E46"/>
  <c r="F46"/>
  <c r="G46"/>
  <c r="H46"/>
  <c r="J41"/>
  <c r="K41"/>
  <c r="L41"/>
  <c r="M41"/>
  <c r="N41"/>
  <c r="O41"/>
  <c r="P41"/>
  <c r="J42"/>
  <c r="K42"/>
  <c r="L42"/>
  <c r="M42"/>
  <c r="N42"/>
  <c r="O42"/>
  <c r="P42"/>
  <c r="J43"/>
  <c r="K43"/>
  <c r="L43"/>
  <c r="M43"/>
  <c r="N43"/>
  <c r="O43"/>
  <c r="P43"/>
  <c r="J44"/>
  <c r="K44"/>
  <c r="L44"/>
  <c r="M44"/>
  <c r="N44"/>
  <c r="O44"/>
  <c r="P44"/>
  <c r="J45"/>
  <c r="K45"/>
  <c r="L45"/>
  <c r="M45"/>
  <c r="N45"/>
  <c r="O45"/>
  <c r="P45"/>
  <c r="J46"/>
  <c r="K46"/>
  <c r="L46"/>
  <c r="M46"/>
  <c r="N46"/>
  <c r="O46"/>
  <c r="P46"/>
  <c r="B50"/>
  <c r="C50"/>
  <c r="D50"/>
  <c r="E50"/>
  <c r="F50"/>
  <c r="G50"/>
  <c r="H50"/>
  <c r="B51"/>
  <c r="C51"/>
  <c r="D51"/>
  <c r="E51"/>
  <c r="F51"/>
  <c r="G51"/>
  <c r="H51"/>
  <c r="B52"/>
  <c r="C52"/>
  <c r="D52"/>
  <c r="E52"/>
  <c r="F52"/>
  <c r="G52"/>
  <c r="H52"/>
  <c r="B53"/>
  <c r="C53"/>
  <c r="D53"/>
  <c r="E53"/>
  <c r="F53"/>
  <c r="G53"/>
  <c r="H53"/>
  <c r="B54"/>
  <c r="C54"/>
  <c r="D54"/>
  <c r="E54"/>
  <c r="F54"/>
  <c r="G54"/>
  <c r="H54"/>
  <c r="B55"/>
  <c r="C55"/>
  <c r="D55"/>
  <c r="E55"/>
  <c r="F55"/>
  <c r="G55"/>
  <c r="H55"/>
  <c r="J50"/>
  <c r="K50"/>
  <c r="L50"/>
  <c r="M50"/>
  <c r="N50"/>
  <c r="O50"/>
  <c r="P50"/>
  <c r="J51"/>
  <c r="K51"/>
  <c r="L51"/>
  <c r="M51"/>
  <c r="N51"/>
  <c r="O51"/>
  <c r="P51"/>
  <c r="J52"/>
  <c r="K52"/>
  <c r="L52"/>
  <c r="M52"/>
  <c r="N52"/>
  <c r="O52"/>
  <c r="P52"/>
  <c r="J53"/>
  <c r="K53"/>
  <c r="L53"/>
  <c r="M53"/>
  <c r="N53"/>
  <c r="O53"/>
  <c r="P53"/>
  <c r="J54"/>
  <c r="K54"/>
  <c r="L54"/>
  <c r="M54"/>
  <c r="N54"/>
  <c r="O54"/>
  <c r="P54"/>
  <c r="J55"/>
  <c r="K55"/>
  <c r="L55"/>
  <c r="M55"/>
  <c r="N55"/>
  <c r="O55"/>
  <c r="P55"/>
  <c r="S4"/>
  <c r="S8"/>
  <c r="S12"/>
  <c r="S13"/>
  <c r="T13" s="1"/>
  <c r="S14"/>
  <c r="S5"/>
  <c r="S7"/>
  <c r="T7" s="1"/>
  <c r="S9"/>
  <c r="S10"/>
  <c r="T10" s="1"/>
  <c r="S11"/>
  <c r="T11"/>
  <c r="T9"/>
  <c r="T5"/>
  <c r="T12"/>
  <c r="T14"/>
  <c r="S6"/>
  <c r="T6" l="1"/>
  <c r="T4"/>
  <c r="T8"/>
</calcChain>
</file>

<file path=xl/comments1.xml><?xml version="1.0" encoding="utf-8"?>
<comments xmlns="http://schemas.openxmlformats.org/spreadsheetml/2006/main">
  <authors>
    <author>TOSHIBA WIN10</author>
  </authors>
  <commentList>
    <comment ref="G5" authorId="0">
      <text>
        <r>
          <rPr>
            <sz val="9"/>
            <color indexed="81"/>
            <rFont val="Tahoma"/>
            <charset val="1"/>
          </rPr>
          <t>New Year's Day</t>
        </r>
      </text>
    </comment>
    <comment ref="K7" authorId="0">
      <text>
        <r>
          <rPr>
            <sz val="9"/>
            <color indexed="81"/>
            <rFont val="Tahoma"/>
            <charset val="1"/>
          </rPr>
          <t>Family Day</t>
        </r>
      </text>
    </comment>
    <comment ref="O14" authorId="0">
      <text>
        <r>
          <rPr>
            <sz val="9"/>
            <color indexed="81"/>
            <rFont val="Tahoma"/>
            <charset val="1"/>
          </rPr>
          <t>Good Friday</t>
        </r>
      </text>
    </comment>
    <comment ref="C27" authorId="0">
      <text>
        <r>
          <rPr>
            <sz val="9"/>
            <color indexed="81"/>
            <rFont val="Tahoma"/>
            <charset val="1"/>
          </rPr>
          <t>Victoria Day</t>
        </r>
      </text>
    </comment>
    <comment ref="F32" authorId="0">
      <text>
        <r>
          <rPr>
            <sz val="9"/>
            <color indexed="81"/>
            <rFont val="Tahoma"/>
            <charset val="1"/>
          </rPr>
          <t>Canada Day</t>
        </r>
      </text>
    </comment>
    <comment ref="K32" authorId="0">
      <text>
        <r>
          <rPr>
            <sz val="9"/>
            <color indexed="81"/>
            <rFont val="Tahoma"/>
            <charset val="1"/>
          </rPr>
          <t>Civic Holiday</t>
        </r>
      </text>
    </comment>
    <comment ref="C42" authorId="0">
      <text>
        <r>
          <rPr>
            <sz val="9"/>
            <color indexed="81"/>
            <rFont val="Tahoma"/>
            <charset val="1"/>
          </rPr>
          <t>Labour Day</t>
        </r>
      </text>
    </comment>
    <comment ref="K43" authorId="0">
      <text>
        <r>
          <rPr>
            <sz val="9"/>
            <color indexed="81"/>
            <rFont val="Tahoma"/>
            <charset val="1"/>
          </rPr>
          <t>Thanksgiving Day</t>
        </r>
      </text>
    </comment>
    <comment ref="J50" authorId="0">
      <text/>
    </comment>
    <comment ref="F51" authorId="0">
      <text>
        <r>
          <rPr>
            <sz val="9"/>
            <color indexed="81"/>
            <rFont val="Tahoma"/>
            <charset val="1"/>
          </rPr>
          <t>Remembrance Day</t>
        </r>
      </text>
    </comment>
    <comment ref="P53" authorId="0">
      <text>
        <r>
          <rPr>
            <sz val="9"/>
            <color indexed="81"/>
            <rFont val="Tahoma"/>
            <charset val="1"/>
          </rPr>
          <t>Christmas Day</t>
        </r>
      </text>
    </comment>
    <comment ref="J54" authorId="0">
      <text>
        <r>
          <rPr>
            <sz val="9"/>
            <color indexed="81"/>
            <rFont val="Tahoma"/>
            <charset val="1"/>
          </rPr>
          <t>Boxing Day</t>
        </r>
      </text>
    </comment>
  </commentList>
</comments>
</file>

<file path=xl/sharedStrings.xml><?xml version="1.0" encoding="utf-8"?>
<sst xmlns="http://schemas.openxmlformats.org/spreadsheetml/2006/main" count="111" uniqueCount="32">
  <si>
    <t>S</t>
  </si>
  <si>
    <t>M</t>
  </si>
  <si>
    <t>T</t>
  </si>
  <si>
    <t>W</t>
  </si>
  <si>
    <t>F</t>
  </si>
  <si>
    <t>January</t>
  </si>
  <si>
    <t>June</t>
  </si>
  <si>
    <t>May</t>
  </si>
  <si>
    <t>July</t>
  </si>
  <si>
    <t>August</t>
  </si>
  <si>
    <t>October</t>
  </si>
  <si>
    <t>September</t>
  </si>
  <si>
    <t>November</t>
  </si>
  <si>
    <t>December</t>
  </si>
  <si>
    <t>March</t>
  </si>
  <si>
    <t>April</t>
  </si>
  <si>
    <t>February</t>
  </si>
  <si>
    <t>New Year's Day</t>
  </si>
  <si>
    <t>Canada Day</t>
  </si>
  <si>
    <t>Remembrance Day</t>
  </si>
  <si>
    <t>Christmas Day</t>
  </si>
  <si>
    <t>Statutory Holidays</t>
  </si>
  <si>
    <t>Date</t>
  </si>
  <si>
    <t>Day</t>
  </si>
  <si>
    <t>Family Day</t>
  </si>
  <si>
    <t>Good Friday</t>
  </si>
  <si>
    <t>Victoria Day</t>
  </si>
  <si>
    <t>Civic Holiday</t>
  </si>
  <si>
    <t>Labour Day</t>
  </si>
  <si>
    <t>Thanksgiving Day</t>
  </si>
  <si>
    <t>Boxing Day</t>
  </si>
  <si>
    <t>Name</t>
  </si>
</sst>
</file>

<file path=xl/styles.xml><?xml version="1.0" encoding="utf-8"?>
<styleSheet xmlns="http://schemas.openxmlformats.org/spreadsheetml/2006/main">
  <numFmts count="2">
    <numFmt numFmtId="164" formatCode="d"/>
    <numFmt numFmtId="165" formatCode="yyyy\-mm\-dd"/>
  </numFmts>
  <fonts count="14">
    <font>
      <sz val="10"/>
      <name val="Arial"/>
    </font>
    <font>
      <sz val="10"/>
      <name val="Constantia"/>
      <family val="2"/>
      <scheme val="minor"/>
    </font>
    <font>
      <sz val="8"/>
      <name val="Constantia"/>
      <family val="2"/>
      <scheme val="minor"/>
    </font>
    <font>
      <b/>
      <sz val="10"/>
      <color indexed="9"/>
      <name val="Constantia"/>
      <family val="2"/>
      <scheme val="major"/>
    </font>
    <font>
      <sz val="8"/>
      <name val="Calibri"/>
      <family val="2"/>
    </font>
    <font>
      <sz val="10"/>
      <name val="Cambria"/>
      <family val="1"/>
    </font>
    <font>
      <b/>
      <sz val="18"/>
      <name val="Constantia"/>
      <family val="1"/>
      <scheme val="minor"/>
    </font>
    <font>
      <b/>
      <sz val="26"/>
      <color theme="4" tint="-0.499984740745262"/>
      <name val="Cambria"/>
      <family val="1"/>
    </font>
    <font>
      <b/>
      <sz val="10"/>
      <name val="Cambria"/>
      <family val="1"/>
    </font>
    <font>
      <b/>
      <sz val="10"/>
      <name val="Constantia"/>
      <family val="1"/>
      <scheme val="minor"/>
    </font>
    <font>
      <sz val="10"/>
      <name val="Constantia"/>
      <family val="1"/>
      <scheme val="minor"/>
    </font>
    <font>
      <sz val="10"/>
      <name val="Cambria"/>
    </font>
    <font>
      <sz val="10"/>
      <name val="Constantia"/>
      <scheme val="minor"/>
    </font>
    <font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theme="4"/>
        <bgColor indexed="11"/>
      </patternFill>
    </fill>
    <fill>
      <patternFill patternType="solid">
        <fgColor theme="4" tint="0.39994506668294322"/>
        <bgColor indexed="64"/>
      </patternFill>
    </fill>
  </fills>
  <borders count="1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indexed="42"/>
      </left>
      <right style="hair">
        <color indexed="42"/>
      </right>
      <top style="hair">
        <color indexed="42"/>
      </top>
      <bottom style="hair">
        <color indexed="42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hair">
        <color theme="7" tint="-0.24994659260841701"/>
      </left>
      <right style="hair">
        <color theme="7" tint="-0.24994659260841701"/>
      </right>
      <top style="hair">
        <color theme="7" tint="-0.24994659260841701"/>
      </top>
      <bottom style="hair">
        <color theme="7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4" xfId="0" applyFont="1" applyBorder="1"/>
    <xf numFmtId="0" fontId="1" fillId="0" borderId="1" xfId="0" applyFont="1" applyBorder="1"/>
    <xf numFmtId="0" fontId="1" fillId="2" borderId="0" xfId="0" applyFont="1" applyFill="1"/>
    <xf numFmtId="0" fontId="2" fillId="2" borderId="0" xfId="0" applyFont="1" applyFill="1" applyAlignment="1">
      <alignment vertical="center"/>
    </xf>
    <xf numFmtId="0" fontId="1" fillId="0" borderId="5" xfId="0" applyFont="1" applyBorder="1"/>
    <xf numFmtId="0" fontId="2" fillId="7" borderId="9" xfId="0" applyFont="1" applyFill="1" applyBorder="1" applyAlignment="1">
      <alignment horizontal="center" vertical="center"/>
    </xf>
    <xf numFmtId="0" fontId="1" fillId="5" borderId="3" xfId="0" applyFont="1" applyFill="1" applyBorder="1"/>
    <xf numFmtId="0" fontId="1" fillId="5" borderId="0" xfId="0" applyFont="1" applyFill="1"/>
    <xf numFmtId="0" fontId="1" fillId="0" borderId="2" xfId="0" applyFont="1" applyBorder="1"/>
    <xf numFmtId="0" fontId="1" fillId="5" borderId="2" xfId="0" applyFont="1" applyFill="1" applyBorder="1"/>
    <xf numFmtId="0" fontId="1" fillId="5" borderId="7" xfId="0" applyFont="1" applyFill="1" applyBorder="1"/>
    <xf numFmtId="0" fontId="2" fillId="0" borderId="10" xfId="0" applyFont="1" applyFill="1" applyBorder="1" applyAlignment="1">
      <alignment horizontal="center" vertical="center" wrapText="1"/>
    </xf>
    <xf numFmtId="0" fontId="1" fillId="5" borderId="0" xfId="0" applyFont="1" applyFill="1" applyBorder="1"/>
    <xf numFmtId="164" fontId="4" fillId="4" borderId="9" xfId="0" applyNumberFormat="1" applyFont="1" applyFill="1" applyBorder="1" applyAlignment="1">
      <alignment horizontal="center" vertical="center"/>
    </xf>
    <xf numFmtId="164" fontId="4" fillId="2" borderId="9" xfId="0" applyNumberFormat="1" applyFont="1" applyFill="1" applyBorder="1" applyAlignment="1">
      <alignment horizontal="center" vertical="center"/>
    </xf>
    <xf numFmtId="164" fontId="4" fillId="3" borderId="9" xfId="0" applyNumberFormat="1" applyFont="1" applyFill="1" applyBorder="1" applyAlignment="1">
      <alignment horizontal="center" vertical="center"/>
    </xf>
    <xf numFmtId="165" fontId="8" fillId="0" borderId="7" xfId="0" applyNumberFormat="1" applyFont="1" applyBorder="1" applyAlignment="1">
      <alignment horizontal="center"/>
    </xf>
    <xf numFmtId="0" fontId="9" fillId="0" borderId="2" xfId="0" applyFont="1" applyBorder="1"/>
    <xf numFmtId="0" fontId="8" fillId="0" borderId="13" xfId="0" applyFont="1" applyBorder="1"/>
    <xf numFmtId="165" fontId="5" fillId="0" borderId="12" xfId="0" applyNumberFormat="1" applyFont="1" applyBorder="1" applyAlignment="1">
      <alignment horizontal="center"/>
    </xf>
    <xf numFmtId="0" fontId="1" fillId="0" borderId="16" xfId="0" applyFont="1" applyBorder="1"/>
    <xf numFmtId="0" fontId="5" fillId="0" borderId="11" xfId="0" applyFont="1" applyBorder="1"/>
    <xf numFmtId="0" fontId="10" fillId="0" borderId="16" xfId="0" applyFont="1" applyBorder="1"/>
    <xf numFmtId="0" fontId="5" fillId="0" borderId="1" xfId="0" applyFont="1" applyBorder="1"/>
    <xf numFmtId="0" fontId="6" fillId="0" borderId="1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7" fillId="2" borderId="0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/>
    </xf>
    <xf numFmtId="0" fontId="12" fillId="0" borderId="16" xfId="0" applyFont="1" applyBorder="1"/>
    <xf numFmtId="0" fontId="11" fillId="0" borderId="11" xfId="0" applyFont="1" applyBorder="1"/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border diagonalUp="0" diagonalDown="0" outline="0">
        <left style="thin">
          <color indexed="9"/>
        </left>
        <right/>
        <top style="thin">
          <color indexed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nstantia"/>
        <scheme val="minor"/>
      </font>
      <border diagonalUp="0" diagonalDown="0" outline="0">
        <left style="thin">
          <color indexed="9"/>
        </left>
        <right style="thin">
          <color indexed="9"/>
        </right>
        <top style="thin">
          <color indexed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165" formatCode="yyyy\-mm\-dd"/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9"/>
        </right>
        <top style="thin">
          <color indexed="9"/>
        </top>
        <bottom/>
      </border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border diagonalUp="0" diagonalDown="0" outline="0">
        <left style="thin">
          <color indexed="9"/>
        </left>
        <right/>
        <top style="thin">
          <color indexed="9"/>
        </top>
        <bottom style="thin">
          <color indexed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onstantia"/>
        <scheme val="minor"/>
      </font>
      <border diagonalUp="0" diagonalDown="0">
        <left style="thin">
          <color indexed="9"/>
        </left>
        <right style="thin">
          <color indexed="9"/>
        </right>
        <top style="thin">
          <color indexed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scheme val="none"/>
      </font>
      <numFmt numFmtId="165" formatCode="yyyy\-mm\-dd"/>
      <alignment horizontal="center" vertical="bottom" textRotation="0" wrapText="0" indent="0" relativeIndent="0" justifyLastLine="0" shrinkToFit="0" mergeCell="0" readingOrder="0"/>
      <border diagonalUp="0" diagonalDown="0" outline="0">
        <left/>
        <right style="thin">
          <color indexed="9"/>
        </right>
        <top style="thin">
          <color indexed="9"/>
        </top>
        <bottom style="thin">
          <color indexed="9"/>
        </bottom>
      </border>
    </dxf>
    <dxf>
      <border outline="0">
        <top style="thin">
          <color indexed="9"/>
        </top>
      </border>
    </dxf>
    <dxf>
      <border outline="0">
        <left style="thin">
          <color indexed="9"/>
        </left>
        <right style="thin">
          <color indexed="9"/>
        </right>
        <top style="thin">
          <color indexed="9"/>
        </top>
        <bottom style="thin">
          <color indexed="9"/>
        </bottom>
      </border>
    </dxf>
    <dxf>
      <border outline="0">
        <bottom style="thin">
          <color indexed="9"/>
        </bottom>
      </border>
    </dxf>
    <dxf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9" defaultPivotStyle="PivotStyleLight16">
    <tableStyle name="Table Style Calendar" pivot="0" count="2">
      <tableStyleElement type="wholeTable" dxfId="12"/>
      <tableStyleElement type="headerRow" dxfId="1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9DAE9"/>
      <rgbColor rgb="00FFFFFF"/>
      <rgbColor rgb="00FF0000"/>
      <rgbColor rgb="0081FB98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DF2F7"/>
      <rgbColor rgb="00894F1F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0</xdr:row>
      <xdr:rowOff>1</xdr:rowOff>
    </xdr:from>
    <xdr:to>
      <xdr:col>21</xdr:col>
      <xdr:colOff>0</xdr:colOff>
      <xdr:row>28</xdr:row>
      <xdr:rowOff>1</xdr:rowOff>
    </xdr:to>
    <xdr:sp macro="" textlink="">
      <xdr:nvSpPr>
        <xdr:cNvPr id="3" name="ChalkboardFrame" descr="Shape with wood texture fill, used to create a chalkboard frame."/>
        <xdr:cNvSpPr/>
      </xdr:nvSpPr>
      <xdr:spPr>
        <a:xfrm>
          <a:off x="5377962" y="1"/>
          <a:ext cx="3113942" cy="4931019"/>
        </a:xfrm>
        <a:prstGeom prst="frame">
          <a:avLst>
            <a:gd name="adj1" fmla="val 4776"/>
          </a:avLst>
        </a:prstGeom>
        <a:blipFill>
          <a:blip xmlns:r="http://schemas.openxmlformats.org/officeDocument/2006/relationships" r:embed="rId1" cstate="print">
            <a:extLst>
              <a:ext uri="{BEBA8EAE-BF5A-486C-A8C5-ECC9F3942E4B}">
                <a14:imgProps xmlns="" xmlns:a14="http://schemas.microsoft.com/office/drawing/2010/main">
                  <a14:imgLayer r:embed="">
                    <a14:imgEffect>
                      <a14:artisticCrisscrossEtching/>
                    </a14:imgEffect>
                  </a14:imgLayer>
                </a14:imgProps>
              </a:ext>
            </a:extLst>
          </a:blip>
          <a:tile tx="0" ty="0" sx="100000" sy="100000" flip="none" algn="tl"/>
        </a:blipFill>
        <a:ln>
          <a:noFill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StatutoryHolidays" displayName="StatutoryHolidays" ref="S3:U16" totalsRowCount="1" headerRowBorderDxfId="10" tableBorderDxfId="9" totalsRowBorderDxfId="8">
  <autoFilter ref="S3:U15"/>
  <tableColumns count="3">
    <tableColumn id="1" name="Date" dataDxfId="7" totalsRowDxfId="2"/>
    <tableColumn id="2" name="Day" dataDxfId="6" totalsRowDxfId="1">
      <calculatedColumnFormula>TEXT($S4, "ddd")</calculatedColumnFormula>
    </tableColumn>
    <tableColumn id="3" name="Name" dataDxfId="5" totalsRowDxfId="0"/>
  </tableColumns>
  <tableStyleInfo name="Table Style Calendar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Paper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Paper">
      <a:majorFont>
        <a:latin typeface="Constantia"/>
        <a:ea typeface=""/>
        <a:cs typeface=""/>
        <a:font script="Jpan" typeface="HG明朝E"/>
        <a:font script="Hang" typeface="궁서"/>
        <a:font script="Hans" typeface="华文新魏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onstantia"/>
        <a:ea typeface=""/>
        <a:cs typeface=""/>
        <a:font script="Jpan" typeface="HG明朝E"/>
        <a:font script="Hang" typeface="궁서"/>
        <a:font script="Hans" typeface="华文新魏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Paper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63000"/>
                <a:tint val="82000"/>
              </a:schemeClr>
              <a:schemeClr val="phClr">
                <a:tint val="10000"/>
                <a:satMod val="400000"/>
              </a:schemeClr>
            </a:duotone>
          </a:blip>
          <a:tile tx="0" ty="0" sx="40000" sy="40000" flip="none" algn="tl"/>
        </a:blipFill>
        <a:blipFill>
          <a:blip xmlns:r="http://schemas.openxmlformats.org/officeDocument/2006/relationships" r:embed="rId1">
            <a:duotone>
              <a:schemeClr val="phClr">
                <a:shade val="40000"/>
              </a:schemeClr>
              <a:schemeClr val="phClr">
                <a:tint val="42000"/>
              </a:schemeClr>
            </a:duotone>
          </a:blip>
          <a:tile tx="0" ty="0" sx="40000" sy="40000" flip="none" algn="tl"/>
        </a:blipFill>
      </a:fillStyleLst>
      <a:lnStyleLst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  <a:ln w="635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rotWithShape="0">
              <a:srgbClr val="000000">
                <a:alpha val="50000"/>
              </a:srgbClr>
            </a:outerShdw>
            <a:softEdge rad="12700"/>
          </a:effectLst>
        </a:effectStyle>
        <a:effectStyle>
          <a:effectLst>
            <a:outerShdw blurRad="95000" algn="tl" rotWithShape="0">
              <a:srgbClr val="000000">
                <a:alpha val="50000"/>
              </a:srgbClr>
            </a:outerShdw>
          </a:effectLst>
          <a:scene3d>
            <a:camera prst="orthographicFront"/>
            <a:lightRig rig="soft" dir="t">
              <a:rot lat="0" lon="0" rev="18000000"/>
            </a:lightRig>
          </a:scene3d>
          <a:sp3d prstMaterial="dkEdge">
            <a:bevelT w="73660" h="44450" prst="riblet"/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55000"/>
                <a:alpha val="20000"/>
              </a:schemeClr>
              <a:schemeClr val="phClr">
                <a:tint val="40000"/>
                <a:shade val="90000"/>
                <a:satMod val="60000"/>
                <a:alpha val="20000"/>
              </a:schemeClr>
            </a:duotone>
          </a:blip>
          <a:tile tx="0" ty="0" sx="58000" sy="38000" flip="none" algn="tl"/>
        </a:blipFill>
        <a:blipFill>
          <a:blip xmlns:r="http://schemas.openxmlformats.org/officeDocument/2006/relationships" r:embed="rId2">
            <a:duotone>
              <a:schemeClr val="phClr">
                <a:shade val="12000"/>
                <a:satMod val="240000"/>
              </a:schemeClr>
              <a:schemeClr val="phClr">
                <a:tint val="65000"/>
              </a:schemeClr>
            </a:duotone>
          </a:blip>
          <a:stretch>
            <a:fillRect/>
          </a:stretch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Calendar">
    <tabColor indexed="31"/>
    <pageSetUpPr fitToPage="1"/>
  </sheetPr>
  <dimension ref="A1:U57"/>
  <sheetViews>
    <sheetView tabSelected="1" zoomScale="145" zoomScaleNormal="145" workbookViewId="0">
      <selection activeCell="B1" sqref="B1:P1"/>
    </sheetView>
  </sheetViews>
  <sheetFormatPr defaultRowHeight="12.75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1.7109375" style="2" customWidth="1"/>
    <col min="19" max="19" width="12.85546875" style="24" customWidth="1"/>
    <col min="20" max="20" width="6.28515625" style="2" customWidth="1"/>
    <col min="21" max="21" width="18.140625" style="24" customWidth="1"/>
    <col min="22" max="16384" width="9.140625" style="2"/>
  </cols>
  <sheetData>
    <row r="1" spans="1:21" ht="35.25" customHeight="1">
      <c r="A1" s="1"/>
      <c r="B1" s="33">
        <v>2021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4"/>
      <c r="R1" s="25" t="s">
        <v>21</v>
      </c>
      <c r="S1" s="26"/>
      <c r="T1" s="26"/>
      <c r="U1" s="27"/>
    </row>
    <row r="2" spans="1:21" ht="8.25" customHeight="1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28"/>
      <c r="S2" s="29"/>
      <c r="T2" s="29"/>
      <c r="U2" s="30"/>
    </row>
    <row r="3" spans="1:21" ht="14.1" customHeight="1">
      <c r="A3" s="1"/>
      <c r="B3" s="31" t="s">
        <v>5</v>
      </c>
      <c r="C3" s="31"/>
      <c r="D3" s="31"/>
      <c r="E3" s="31"/>
      <c r="F3" s="31"/>
      <c r="G3" s="31"/>
      <c r="H3" s="31"/>
      <c r="I3" s="4"/>
      <c r="J3" s="31" t="s">
        <v>16</v>
      </c>
      <c r="K3" s="31"/>
      <c r="L3" s="31"/>
      <c r="M3" s="31"/>
      <c r="N3" s="31"/>
      <c r="O3" s="31"/>
      <c r="P3" s="31"/>
      <c r="Q3" s="5"/>
      <c r="R3" s="5"/>
      <c r="S3" s="17" t="s">
        <v>22</v>
      </c>
      <c r="T3" s="18" t="s">
        <v>23</v>
      </c>
      <c r="U3" s="19" t="s">
        <v>31</v>
      </c>
    </row>
    <row r="4" spans="1:21" ht="14.1" customHeight="1">
      <c r="A4" s="1"/>
      <c r="B4" s="6" t="s">
        <v>0</v>
      </c>
      <c r="C4" s="6" t="s">
        <v>1</v>
      </c>
      <c r="D4" s="6" t="s">
        <v>2</v>
      </c>
      <c r="E4" s="6" t="s">
        <v>3</v>
      </c>
      <c r="F4" s="6" t="s">
        <v>2</v>
      </c>
      <c r="G4" s="6" t="s">
        <v>4</v>
      </c>
      <c r="H4" s="6" t="s">
        <v>0</v>
      </c>
      <c r="I4" s="7"/>
      <c r="J4" s="6" t="s">
        <v>0</v>
      </c>
      <c r="K4" s="6" t="s">
        <v>1</v>
      </c>
      <c r="L4" s="6" t="s">
        <v>2</v>
      </c>
      <c r="M4" s="6" t="s">
        <v>3</v>
      </c>
      <c r="N4" s="6" t="s">
        <v>2</v>
      </c>
      <c r="O4" s="6" t="s">
        <v>4</v>
      </c>
      <c r="P4" s="6" t="s">
        <v>0</v>
      </c>
      <c r="Q4" s="5"/>
      <c r="R4" s="5"/>
      <c r="S4" s="20">
        <f>DATE(CalendarYear,1,1)</f>
        <v>44197</v>
      </c>
      <c r="T4" s="21" t="str">
        <f>TEXT($S4, "ddd")</f>
        <v>Fri</v>
      </c>
      <c r="U4" s="22" t="s">
        <v>17</v>
      </c>
    </row>
    <row r="5" spans="1:21" ht="14.1" customHeight="1">
      <c r="A5" s="1"/>
      <c r="B5" s="14" t="str">
        <f>IF(DAY(JanSun1)=1,"",IF(AND(YEAR(JanSun1+1)=CalendarYear,MONTH(JanSun1+1)=1),JanSun1+1,""))</f>
        <v/>
      </c>
      <c r="C5" s="15" t="str">
        <f>IF(DAY(JanSun1)=1,"",IF(AND(YEAR(JanSun1+2)=CalendarYear,MONTH(JanSun1+2)=1),JanSun1+2,""))</f>
        <v/>
      </c>
      <c r="D5" s="15" t="str">
        <f>IF(DAY(JanSun1)=1,"",IF(AND(YEAR(JanSun1+3)=CalendarYear,MONTH(JanSun1+3)=1),JanSun1+3,""))</f>
        <v/>
      </c>
      <c r="E5" s="15" t="str">
        <f>IF(DAY(JanSun1)=1,"",IF(AND(YEAR(JanSun1+4)=CalendarYear,MONTH(JanSun1+4)=1),JanSun1+4,""))</f>
        <v/>
      </c>
      <c r="F5" s="15" t="str">
        <f>IF(DAY(JanSun1)=1,"",IF(AND(YEAR(JanSun1+5)=CalendarYear,MONTH(JanSun1+5)=1),JanSun1+5,""))</f>
        <v/>
      </c>
      <c r="G5" s="15">
        <f>IF(DAY(JanSun1)=1,"",IF(AND(YEAR(JanSun1+6)=CalendarYear,MONTH(JanSun1+6)=1),JanSun1+6,""))</f>
        <v>44197</v>
      </c>
      <c r="H5" s="14">
        <f>IF(DAY(JanSun1)=1,IF(AND(YEAR(JanSun1)=CalendarYear,MONTH(JanSun1)=1),JanSun1,""),IF(AND(YEAR(JanSun1+7)=CalendarYear,MONTH(JanSun1+7)=1),JanSun1+7,""))</f>
        <v>44198</v>
      </c>
      <c r="I5" s="7"/>
      <c r="J5" s="14" t="str">
        <f>IF(DAY(FebSun1)=1,"",IF(AND(YEAR(FebSun1+1)=CalendarYear,MONTH(FebSun1+1)=2),FebSun1+1,""))</f>
        <v/>
      </c>
      <c r="K5" s="15">
        <f>IF(DAY(FebSun1)=1,"",IF(AND(YEAR(FebSun1+2)=CalendarYear,MONTH(FebSun1+2)=2),FebSun1+2,""))</f>
        <v>44228</v>
      </c>
      <c r="L5" s="15">
        <f>IF(DAY(FebSun1)=1,"",IF(AND(YEAR(FebSun1+3)=CalendarYear,MONTH(FebSun1+3)=2),FebSun1+3,""))</f>
        <v>44229</v>
      </c>
      <c r="M5" s="15">
        <f>IF(DAY(FebSun1)=1,"",IF(AND(YEAR(FebSun1+4)=CalendarYear,MONTH(FebSun1+4)=2),FebSun1+4,""))</f>
        <v>44230</v>
      </c>
      <c r="N5" s="15">
        <f>IF(DAY(FebSun1)=1,"",IF(AND(YEAR(FebSun1+5)=CalendarYear,MONTH(FebSun1+5)=2),FebSun1+5,""))</f>
        <v>44231</v>
      </c>
      <c r="O5" s="15">
        <f>IF(DAY(FebSun1)=1,"",IF(AND(YEAR(FebSun1+6)=CalendarYear,MONTH(FebSun1+6)=2),FebSun1+6,""))</f>
        <v>44232</v>
      </c>
      <c r="P5" s="15">
        <f>IF(DAY(FebSun1)=1,IF(AND(YEAR(FebSun1)=CalendarYear,MONTH(FebSun1)=2),FebSun1,""),IF(AND(YEAR(FebSun1+7)=CalendarYear,MONTH(FebSun1+7)=2),FebSun1+7,""))</f>
        <v>44233</v>
      </c>
      <c r="Q5" s="5"/>
      <c r="R5" s="5"/>
      <c r="S5" s="35">
        <f>DATE(CalendarYear,2,1+7*3)-WEEKDAY(DATE(CalendarYear,2,8-2))</f>
        <v>44242</v>
      </c>
      <c r="T5" s="36" t="str">
        <f>TEXT($S5, "ddd")</f>
        <v>Mon</v>
      </c>
      <c r="U5" s="37" t="s">
        <v>24</v>
      </c>
    </row>
    <row r="6" spans="1:21" ht="14.1" customHeight="1">
      <c r="A6" s="1"/>
      <c r="B6" s="14">
        <f>IF(DAY(JanSun1)=1,IF(AND(YEAR(JanSun1+1)=CalendarYear,MONTH(JanSun1+1)=1),JanSun1+1,""),IF(AND(YEAR(JanSun1+8)=CalendarYear,MONTH(JanSun1+8)=1),JanSun1+8,""))</f>
        <v>44199</v>
      </c>
      <c r="C6" s="15">
        <f>IF(DAY(JanSun1)=1,IF(AND(YEAR(JanSun1+2)=CalendarYear,MONTH(JanSun1+2)=1),JanSun1+2,""),IF(AND(YEAR(JanSun1+9)=CalendarYear,MONTH(JanSun1+9)=1),JanSun1+9,""))</f>
        <v>44200</v>
      </c>
      <c r="D6" s="15">
        <f>IF(DAY(JanSun1)=1,IF(AND(YEAR(JanSun1+3)=CalendarYear,MONTH(JanSun1+3)=1),JanSun1+3,""),IF(AND(YEAR(JanSun1+10)=CalendarYear,MONTH(JanSun1+10)=1),JanSun1+10,""))</f>
        <v>44201</v>
      </c>
      <c r="E6" s="15">
        <f>IF(DAY(JanSun1)=1,IF(AND(YEAR(JanSun1+4)=CalendarYear,MONTH(JanSun1+4)=1),JanSun1+4,""),IF(AND(YEAR(JanSun1+11)=CalendarYear,MONTH(JanSun1+11)=1),JanSun1+11,""))</f>
        <v>44202</v>
      </c>
      <c r="F6" s="15">
        <f>IF(DAY(JanSun1)=1,IF(AND(YEAR(JanSun1+5)=CalendarYear,MONTH(JanSun1+5)=1),JanSun1+5,""),IF(AND(YEAR(JanSun1+12)=CalendarYear,MONTH(JanSun1+12)=1),JanSun1+12,""))</f>
        <v>44203</v>
      </c>
      <c r="G6" s="15">
        <f>IF(DAY(JanSun1)=1,IF(AND(YEAR(JanSun1+6)=CalendarYear,MONTH(JanSun1+6)=1),JanSun1+6,""),IF(AND(YEAR(JanSun1+13)=CalendarYear,MONTH(JanSun1+13)=1),JanSun1+13,""))</f>
        <v>44204</v>
      </c>
      <c r="H6" s="14">
        <f>IF(DAY(JanSun1)=1,IF(AND(YEAR(JanSun1+7)=CalendarYear,MONTH(JanSun1+7)=1),JanSun1+7,""),IF(AND(YEAR(JanSun1+14)=CalendarYear,MONTH(JanSun1+14)=1),JanSun1+14,""))</f>
        <v>44205</v>
      </c>
      <c r="I6" s="7"/>
      <c r="J6" s="14">
        <f>IF(DAY(FebSun1)=1,IF(AND(YEAR(FebSun1+1)=CalendarYear,MONTH(FebSun1+1)=2),FebSun1+1,""),IF(AND(YEAR(FebSun1+8)=CalendarYear,MONTH(FebSun1+8)=2),FebSun1+8,""))</f>
        <v>44234</v>
      </c>
      <c r="K6" s="15">
        <f>IF(DAY(FebSun1)=1,IF(AND(YEAR(FebSun1+2)=CalendarYear,MONTH(FebSun1+2)=2),FebSun1+2,""),IF(AND(YEAR(FebSun1+9)=CalendarYear,MONTH(FebSun1+9)=2),FebSun1+9,""))</f>
        <v>44235</v>
      </c>
      <c r="L6" s="15">
        <f>IF(DAY(FebSun1)=1,IF(AND(YEAR(FebSun1+3)=CalendarYear,MONTH(FebSun1+3)=2),FebSun1+3,""),IF(AND(YEAR(FebSun1+10)=CalendarYear,MONTH(FebSun1+10)=2),FebSun1+10,""))</f>
        <v>44236</v>
      </c>
      <c r="M6" s="15">
        <f>IF(DAY(FebSun1)=1,IF(AND(YEAR(FebSun1+4)=CalendarYear,MONTH(FebSun1+4)=2),FebSun1+4,""),IF(AND(YEAR(FebSun1+11)=CalendarYear,MONTH(FebSun1+11)=2),FebSun1+11,""))</f>
        <v>44237</v>
      </c>
      <c r="N6" s="15">
        <f>IF(DAY(FebSun1)=1,IF(AND(YEAR(FebSun1+5)=CalendarYear,MONTH(FebSun1+5)=2),FebSun1+5,""),IF(AND(YEAR(FebSun1+12)=CalendarYear,MONTH(FebSun1+12)=2),FebSun1+12,""))</f>
        <v>44238</v>
      </c>
      <c r="O6" s="15">
        <f>IF(DAY(FebSun1)=1,IF(AND(YEAR(FebSun1+6)=CalendarYear,MONTH(FebSun1+6)=2),FebSun1+6,""),IF(AND(YEAR(FebSun1+13)=CalendarYear,MONTH(FebSun1+13)=2),FebSun1+13,""))</f>
        <v>44239</v>
      </c>
      <c r="P6" s="14">
        <f>IF(DAY(FebSun1)=1,IF(AND(YEAR(FebSun1+7)=CalendarYear,MONTH(FebSun1+7)=2),FebSun1+7,""),IF(AND(YEAR(FebSun1+14)=CalendarYear,MONTH(FebSun1+14)=2),FebSun1+14,""))</f>
        <v>44240</v>
      </c>
      <c r="Q6" s="5"/>
      <c r="R6" s="5"/>
      <c r="S6" s="35">
        <f>EASTER_by_LLongre(CalendarYear)-2</f>
        <v>44288</v>
      </c>
      <c r="T6" s="36" t="str">
        <f>TEXT($S6, "ddd")</f>
        <v>Fri</v>
      </c>
      <c r="U6" s="37" t="s">
        <v>25</v>
      </c>
    </row>
    <row r="7" spans="1:21" ht="14.1" customHeight="1">
      <c r="A7" s="1"/>
      <c r="B7" s="14">
        <f>IF(DAY(JanSun1)=1,IF(AND(YEAR(JanSun1+8)=CalendarYear,MONTH(JanSun1+8)=1),JanSun1+8,""),IF(AND(YEAR(JanSun1+15)=CalendarYear,MONTH(JanSun1+15)=1),JanSun1+15,""))</f>
        <v>44206</v>
      </c>
      <c r="C7" s="15">
        <f>IF(DAY(JanSun1)=1,IF(AND(YEAR(JanSun1+9)=CalendarYear,MONTH(JanSun1+9)=1),JanSun1+9,""),IF(AND(YEAR(JanSun1+16)=CalendarYear,MONTH(JanSun1+16)=1),JanSun1+16,""))</f>
        <v>44207</v>
      </c>
      <c r="D7" s="15">
        <f>IF(DAY(JanSun1)=1,IF(AND(YEAR(JanSun1+10)=CalendarYear,MONTH(JanSun1+10)=1),JanSun1+10,""),IF(AND(YEAR(JanSun1+17)=CalendarYear,MONTH(JanSun1+17)=1),JanSun1+17,""))</f>
        <v>44208</v>
      </c>
      <c r="E7" s="15">
        <f>IF(DAY(JanSun1)=1,IF(AND(YEAR(JanSun1+11)=CalendarYear,MONTH(JanSun1+11)=1),JanSun1+11,""),IF(AND(YEAR(JanSun1+18)=CalendarYear,MONTH(JanSun1+18)=1),JanSun1+18,""))</f>
        <v>44209</v>
      </c>
      <c r="F7" s="15">
        <f>IF(DAY(JanSun1)=1,IF(AND(YEAR(JanSun1+12)=CalendarYear,MONTH(JanSun1+12)=1),JanSun1+12,""),IF(AND(YEAR(JanSun1+19)=CalendarYear,MONTH(JanSun1+19)=1),JanSun1+19,""))</f>
        <v>44210</v>
      </c>
      <c r="G7" s="15">
        <f>IF(DAY(JanSun1)=1,IF(AND(YEAR(JanSun1+13)=CalendarYear,MONTH(JanSun1+13)=1),JanSun1+13,""),IF(AND(YEAR(JanSun1+20)=CalendarYear,MONTH(JanSun1+20)=1),JanSun1+20,""))</f>
        <v>44211</v>
      </c>
      <c r="H7" s="14">
        <f>IF(DAY(JanSun1)=1,IF(AND(YEAR(JanSun1+14)=CalendarYear,MONTH(JanSun1+14)=1),JanSun1+14,""),IF(AND(YEAR(JanSun1+21)=CalendarYear,MONTH(JanSun1+21)=1),JanSun1+21,""))</f>
        <v>44212</v>
      </c>
      <c r="I7" s="7"/>
      <c r="J7" s="14">
        <f>IF(DAY(FebSun1)=1,IF(AND(YEAR(FebSun1+8)=CalendarYear,MONTH(FebSun1+8)=2),FebSun1+8,""),IF(AND(YEAR(FebSun1+15)=CalendarYear,MONTH(FebSun1+15)=2),FebSun1+15,""))</f>
        <v>44241</v>
      </c>
      <c r="K7" s="15">
        <f>IF(DAY(FebSun1)=1,IF(AND(YEAR(FebSun1+9)=CalendarYear,MONTH(FebSun1+9)=2),FebSun1+9,""),IF(AND(YEAR(FebSun1+16)=CalendarYear,MONTH(FebSun1+16)=2),FebSun1+16,""))</f>
        <v>44242</v>
      </c>
      <c r="L7" s="15">
        <f>IF(DAY(FebSun1)=1,IF(AND(YEAR(FebSun1+10)=CalendarYear,MONTH(FebSun1+10)=2),FebSun1+10,""),IF(AND(YEAR(FebSun1+17)=CalendarYear,MONTH(FebSun1+17)=2),FebSun1+17,""))</f>
        <v>44243</v>
      </c>
      <c r="M7" s="15">
        <f>IF(DAY(FebSun1)=1,IF(AND(YEAR(FebSun1+11)=CalendarYear,MONTH(FebSun1+11)=2),FebSun1+11,""),IF(AND(YEAR(FebSun1+18)=CalendarYear,MONTH(FebSun1+18)=2),FebSun1+18,""))</f>
        <v>44244</v>
      </c>
      <c r="N7" s="15">
        <f>IF(DAY(FebSun1)=1,IF(AND(YEAR(FebSun1+12)=CalendarYear,MONTH(FebSun1+12)=2),FebSun1+12,""),IF(AND(YEAR(FebSun1+19)=CalendarYear,MONTH(FebSun1+19)=2),FebSun1+19,""))</f>
        <v>44245</v>
      </c>
      <c r="O7" s="15">
        <f>IF(DAY(FebSun1)=1,IF(AND(YEAR(FebSun1+13)=CalendarYear,MONTH(FebSun1+13)=2),FebSun1+13,""),IF(AND(YEAR(FebSun1+20)=CalendarYear,MONTH(FebSun1+20)=2),FebSun1+20,""))</f>
        <v>44246</v>
      </c>
      <c r="P7" s="14">
        <f>IF(DAY(FebSun1)=1,IF(AND(YEAR(FebSun1+14)=CalendarYear,MONTH(FebSun1+14)=2),FebSun1+14,""),IF(AND(YEAR(FebSun1+21)=CalendarYear,MONTH(FebSun1+21)=2),FebSun1+21,""))</f>
        <v>44247</v>
      </c>
      <c r="Q7" s="5"/>
      <c r="R7" s="5"/>
      <c r="S7" s="35">
        <f>DATE(CalendarYear,5,25)-WEEKDAY(DATE(CalendarYear,5,25),3)-(7*(WEEKDAY(DATE(CalendarYear,5,25),3)=0))</f>
        <v>44340</v>
      </c>
      <c r="T7" s="36" t="str">
        <f>TEXT($S7, "ddd")</f>
        <v>Mon</v>
      </c>
      <c r="U7" s="37" t="s">
        <v>26</v>
      </c>
    </row>
    <row r="8" spans="1:21" ht="14.1" customHeight="1">
      <c r="A8" s="1"/>
      <c r="B8" s="14">
        <f>IF(DAY(JanSun1)=1,IF(AND(YEAR(JanSun1+15)=CalendarYear,MONTH(JanSun1+15)=1),JanSun1+15,""),IF(AND(YEAR(JanSun1+22)=CalendarYear,MONTH(JanSun1+22)=1),JanSun1+22,""))</f>
        <v>44213</v>
      </c>
      <c r="C8" s="15">
        <f>IF(DAY(JanSun1)=1,IF(AND(YEAR(JanSun1+16)=CalendarYear,MONTH(JanSun1+16)=1),JanSun1+16,""),IF(AND(YEAR(JanSun1+23)=CalendarYear,MONTH(JanSun1+23)=1),JanSun1+23,""))</f>
        <v>44214</v>
      </c>
      <c r="D8" s="15">
        <f>IF(DAY(JanSun1)=1,IF(AND(YEAR(JanSun1+17)=CalendarYear,MONTH(JanSun1+17)=1),JanSun1+17,""),IF(AND(YEAR(JanSun1+24)=CalendarYear,MONTH(JanSun1+24)=1),JanSun1+24,""))</f>
        <v>44215</v>
      </c>
      <c r="E8" s="15">
        <f>IF(DAY(JanSun1)=1,IF(AND(YEAR(JanSun1+18)=CalendarYear,MONTH(JanSun1+18)=1),JanSun1+18,""),IF(AND(YEAR(JanSun1+25)=CalendarYear,MONTH(JanSun1+25)=1),JanSun1+25,""))</f>
        <v>44216</v>
      </c>
      <c r="F8" s="15">
        <f>IF(DAY(JanSun1)=1,IF(AND(YEAR(JanSun1+19)=CalendarYear,MONTH(JanSun1+19)=1),JanSun1+19,""),IF(AND(YEAR(JanSun1+26)=CalendarYear,MONTH(JanSun1+26)=1),JanSun1+26,""))</f>
        <v>44217</v>
      </c>
      <c r="G8" s="15">
        <f>IF(DAY(JanSun1)=1,IF(AND(YEAR(JanSun1+20)=CalendarYear,MONTH(JanSun1+20)=1),JanSun1+20,""),IF(AND(YEAR(JanSun1+27)=CalendarYear,MONTH(JanSun1+27)=1),JanSun1+27,""))</f>
        <v>44218</v>
      </c>
      <c r="H8" s="14">
        <f>IF(DAY(JanSun1)=1,IF(AND(YEAR(JanSun1+21)=CalendarYear,MONTH(JanSun1+21)=1),JanSun1+21,""),IF(AND(YEAR(JanSun1+28)=CalendarYear,MONTH(JanSun1+28)=1),JanSun1+28,""))</f>
        <v>44219</v>
      </c>
      <c r="I8" s="7"/>
      <c r="J8" s="14">
        <f>IF(DAY(FebSun1)=1,IF(AND(YEAR(FebSun1+15)=CalendarYear,MONTH(FebSun1+15)=2),FebSun1+15,""),IF(AND(YEAR(FebSun1+22)=CalendarYear,MONTH(FebSun1+22)=2),FebSun1+22,""))</f>
        <v>44248</v>
      </c>
      <c r="K8" s="15">
        <f>IF(DAY(FebSun1)=1,IF(AND(YEAR(FebSun1+16)=CalendarYear,MONTH(FebSun1+16)=2),FebSun1+16,""),IF(AND(YEAR(FebSun1+23)=CalendarYear,MONTH(FebSun1+23)=2),FebSun1+23,""))</f>
        <v>44249</v>
      </c>
      <c r="L8" s="15">
        <f>IF(DAY(FebSun1)=1,IF(AND(YEAR(FebSun1+17)=CalendarYear,MONTH(FebSun1+17)=2),FebSun1+17,""),IF(AND(YEAR(FebSun1+24)=CalendarYear,MONTH(FebSun1+24)=2),FebSun1+24,""))</f>
        <v>44250</v>
      </c>
      <c r="M8" s="15">
        <f>IF(DAY(FebSun1)=1,IF(AND(YEAR(FebSun1+18)=CalendarYear,MONTH(FebSun1+18)=2),FebSun1+18,""),IF(AND(YEAR(FebSun1+25)=CalendarYear,MONTH(FebSun1+25)=2),FebSun1+25,""))</f>
        <v>44251</v>
      </c>
      <c r="N8" s="15">
        <f>IF(DAY(FebSun1)=1,IF(AND(YEAR(FebSun1+19)=CalendarYear,MONTH(FebSun1+19)=2),FebSun1+19,""),IF(AND(YEAR(FebSun1+26)=CalendarYear,MONTH(FebSun1+26)=2),FebSun1+26,""))</f>
        <v>44252</v>
      </c>
      <c r="O8" s="15">
        <f>IF(DAY(FebSun1)=1,IF(AND(YEAR(FebSun1+20)=CalendarYear,MONTH(FebSun1+20)=2),FebSun1+20,""),IF(AND(YEAR(FebSun1+27)=CalendarYear,MONTH(FebSun1+27)=2),FebSun1+27,""))</f>
        <v>44253</v>
      </c>
      <c r="P8" s="14">
        <f>IF(DAY(FebSun1)=1,IF(AND(YEAR(FebSun1+21)=CalendarYear,MONTH(FebSun1+21)=2),FebSun1+21,""),IF(AND(YEAR(FebSun1+28)=CalendarYear,MONTH(FebSun1+28)=2),FebSun1+28,""))</f>
        <v>44254</v>
      </c>
      <c r="Q8" s="5"/>
      <c r="R8" s="5"/>
      <c r="S8" s="20">
        <f>DATE(CalendarYear,7,1)</f>
        <v>44378</v>
      </c>
      <c r="T8" s="21" t="str">
        <f>TEXT($S8, "ddd")</f>
        <v>Thu</v>
      </c>
      <c r="U8" s="22" t="s">
        <v>18</v>
      </c>
    </row>
    <row r="9" spans="1:21" ht="14.1" customHeight="1">
      <c r="A9" s="1"/>
      <c r="B9" s="14">
        <f>IF(DAY(JanSun1)=1,IF(AND(YEAR(JanSun1+22)=CalendarYear,MONTH(JanSun1+22)=1),JanSun1+22,""),IF(AND(YEAR(JanSun1+29)=CalendarYear,MONTH(JanSun1+29)=1),JanSun1+29,""))</f>
        <v>44220</v>
      </c>
      <c r="C9" s="15">
        <f>IF(DAY(JanSun1)=1,IF(AND(YEAR(JanSun1+23)=CalendarYear,MONTH(JanSun1+23)=1),JanSun1+23,""),IF(AND(YEAR(JanSun1+30)=CalendarYear,MONTH(JanSun1+30)=1),JanSun1+30,""))</f>
        <v>44221</v>
      </c>
      <c r="D9" s="15">
        <f>IF(DAY(JanSun1)=1,IF(AND(YEAR(JanSun1+24)=CalendarYear,MONTH(JanSun1+24)=1),JanSun1+24,""),IF(AND(YEAR(JanSun1+31)=CalendarYear,MONTH(JanSun1+31)=1),JanSun1+31,""))</f>
        <v>44222</v>
      </c>
      <c r="E9" s="15">
        <f>IF(DAY(JanSun1)=1,IF(AND(YEAR(JanSun1+25)=CalendarYear,MONTH(JanSun1+25)=1),JanSun1+25,""),IF(AND(YEAR(JanSun1+32)=CalendarYear,MONTH(JanSun1+32)=1),JanSun1+32,""))</f>
        <v>44223</v>
      </c>
      <c r="F9" s="15">
        <f>IF(DAY(JanSun1)=1,IF(AND(YEAR(JanSun1+26)=CalendarYear,MONTH(JanSun1+26)=1),JanSun1+26,""),IF(AND(YEAR(JanSun1+33)=CalendarYear,MONTH(JanSun1+33)=1),JanSun1+33,""))</f>
        <v>44224</v>
      </c>
      <c r="G9" s="15">
        <f>IF(DAY(JanSun1)=1,IF(AND(YEAR(JanSun1+27)=CalendarYear,MONTH(JanSun1+27)=1),JanSun1+27,""),IF(AND(YEAR(JanSun1+34)=CalendarYear,MONTH(JanSun1+34)=1),JanSun1+34,""))</f>
        <v>44225</v>
      </c>
      <c r="H9" s="14">
        <f>IF(DAY(JanSun1)=1,IF(AND(YEAR(JanSun1+28)=CalendarYear,MONTH(JanSun1+28)=1),JanSun1+28,""),IF(AND(YEAR(JanSun1+35)=CalendarYear,MONTH(JanSun1+35)=1),JanSun1+35,""))</f>
        <v>44226</v>
      </c>
      <c r="I9" s="13"/>
      <c r="J9" s="14">
        <f>IF(DAY(FebSun1)=1,IF(AND(YEAR(FebSun1+22)=CalendarYear,MONTH(FebSun1+22)=2),FebSun1+22,""),IF(AND(YEAR(FebSun1+29)=CalendarYear,MONTH(FebSun1+29)=2),FebSun1+29,""))</f>
        <v>44255</v>
      </c>
      <c r="K9" s="15" t="str">
        <f>IF(DAY(FebSun1)=1,IF(AND(YEAR(FebSun1+23)=CalendarYear,MONTH(FebSun1+23)=2),FebSun1+23,""),IF(AND(YEAR(FebSun1+30)=CalendarYear,MONTH(FebSun1+30)=2),FebSun1+30,""))</f>
        <v/>
      </c>
      <c r="L9" s="15" t="str">
        <f>IF(DAY(FebSun1)=1,IF(AND(YEAR(FebSun1+24)=CalendarYear,MONTH(FebSun1+24)=2),FebSun1+24,""),IF(AND(YEAR(FebSun1+31)=CalendarYear,MONTH(FebSun1+31)=2),FebSun1+31,""))</f>
        <v/>
      </c>
      <c r="M9" s="15" t="str">
        <f>IF(DAY(FebSun1)=1,IF(AND(YEAR(FebSun1+25)=CalendarYear,MONTH(FebSun1+25)=2),FebSun1+25,""),IF(AND(YEAR(FebSun1+32)=CalendarYear,MONTH(FebSun1+32)=2),FebSun1+32,""))</f>
        <v/>
      </c>
      <c r="N9" s="15" t="str">
        <f>IF(DAY(FebSun1)=1,IF(AND(YEAR(FebSun1+26)=CalendarYear,MONTH(FebSun1+26)=2),FebSun1+26,""),IF(AND(YEAR(FebSun1+33)=CalendarYear,MONTH(FebSun1+33)=2),FebSun1+33,""))</f>
        <v/>
      </c>
      <c r="O9" s="15" t="str">
        <f>IF(DAY(FebSun1)=1,IF(AND(YEAR(FebSun1+27)=CalendarYear,MONTH(FebSun1+27)=2),FebSun1+27,""),IF(AND(YEAR(FebSun1+34)=CalendarYear,MONTH(FebSun1+34)=2),FebSun1+34,""))</f>
        <v/>
      </c>
      <c r="P9" s="14" t="str">
        <f>IF(DAY(FebSun1)=1,IF(AND(YEAR(FebSun1+28)=CalendarYear,MONTH(FebSun1+28)=2),FebSun1+28,""),IF(AND(YEAR(FebSun1+35)=CalendarYear,MONTH(FebSun1+35)=2),FebSun1+35,""))</f>
        <v/>
      </c>
      <c r="Q9" s="5"/>
      <c r="R9" s="5"/>
      <c r="S9" s="35">
        <f>DATE(CalendarYear,8,1+7*1)-WEEKDAY(DATE(CalendarYear,8,8-2))</f>
        <v>44410</v>
      </c>
      <c r="T9" s="36" t="str">
        <f>TEXT($S9, "ddd")</f>
        <v>Mon</v>
      </c>
      <c r="U9" s="37" t="s">
        <v>27</v>
      </c>
    </row>
    <row r="10" spans="1:21" ht="14.1" customHeight="1">
      <c r="A10" s="1"/>
      <c r="B10" s="15">
        <f>IF(DAY(JanSun1)=1,IF(AND(YEAR(JanSun1+29)=CalendarYear,MONTH(JanSun1+29)=1),JanSun1+29,""),IF(AND(YEAR(JanSun1+36)=CalendarYear,MONTH(JanSun1+36)=1),JanSun1+36,""))</f>
        <v>44227</v>
      </c>
      <c r="C10" s="15" t="str">
        <f>IF(DAY(JanSun1)=1,IF(AND(YEAR(JanSun1+30)=CalendarYear,MONTH(JanSun1+30)=1),JanSun1+30,""),IF(AND(YEAR(JanSun1+37)=CalendarYear,MONTH(JanSun1+37)=1),JanSun1+37,""))</f>
        <v/>
      </c>
      <c r="D10" s="15" t="str">
        <f>IF(DAY(JanSun1)=1,IF(AND(YEAR(JanSun1+31)=CalendarYear,MONTH(JanSun1+31)=1),JanSun1+31,""),IF(AND(YEAR(JanSun1+38)=CalendarYear,MONTH(JanSun1+38)=1),JanSun1+38,""))</f>
        <v/>
      </c>
      <c r="E10" s="15" t="str">
        <f>IF(DAY(JanSun1)=1,IF(AND(YEAR(JanSun1+32)=CalendarYear,MONTH(JanSun1+32)=1),JanSun1+32,""),IF(AND(YEAR(JanSun1+39)=CalendarYear,MONTH(JanSun1+39)=1),JanSun1+39,""))</f>
        <v/>
      </c>
      <c r="F10" s="15" t="str">
        <f>IF(DAY(JanSun1)=1,IF(AND(YEAR(JanSun1+33)=CalendarYear,MONTH(JanSun1+33)=1),JanSun1+33,""),IF(AND(YEAR(JanSun1+40)=CalendarYear,MONTH(JanSun1+40)=1),JanSun1+40,""))</f>
        <v/>
      </c>
      <c r="G10" s="15" t="str">
        <f>IF(DAY(JanSun1)=1,IF(AND(YEAR(JanSun1+34)=CalendarYear,MONTH(JanSun1+34)=1),JanSun1+34,""),IF(AND(YEAR(JanSun1+41)=CalendarYear,MONTH(JanSun1+41)=1),JanSun1+41,""))</f>
        <v/>
      </c>
      <c r="H10" s="14" t="str">
        <f>IF(DAY(JanSun1)=1,IF(AND(YEAR(JanSun1+35)=CalendarYear,MONTH(JanSun1+35)=1),JanSun1+35,""),IF(AND(YEAR(JanSun1+42)=CalendarYear,MONTH(JanSun1+42)=1),JanSun1+42,""))</f>
        <v/>
      </c>
      <c r="I10" s="8"/>
      <c r="J10" s="14" t="str">
        <f>IF(DAY(FebSun1)=1,IF(AND(YEAR(FebSun1+29)=CalendarYear,MONTH(FebSun1+29)=2),FebSun1+29,""),IF(AND(YEAR(FebSun1+36)=CalendarYear,MONTH(FebSun1+36)=2),FebSun1+36,""))</f>
        <v/>
      </c>
      <c r="K10" s="15" t="str">
        <f>IF(DAY(FebSun1)=1,IF(AND(YEAR(FebSun1+30)=CalendarYear,MONTH(FebSun1+30)=2),FebSun1+30,""),IF(AND(YEAR(FebSun1+37)=CalendarYear,MONTH(FebSun1+37)=2),FebSun1+37,""))</f>
        <v/>
      </c>
      <c r="L10" s="15" t="str">
        <f>IF(DAY(FebSun1)=1,IF(AND(YEAR(FebSun1+31)=CalendarYear,MONTH(FebSun1+31)=2),FebSun1+31,""),IF(AND(YEAR(FebSun1+38)=CalendarYear,MONTH(FebSun1+38)=2),FebSun1+38,""))</f>
        <v/>
      </c>
      <c r="M10" s="15" t="str">
        <f>IF(DAY(FebSun1)=1,IF(AND(YEAR(FebSun1+32)=CalendarYear,MONTH(FebSun1+32)=2),FebSun1+32,""),IF(AND(YEAR(FebSun1+39)=CalendarYear,MONTH(FebSun1+39)=2),FebSun1+39,""))</f>
        <v/>
      </c>
      <c r="N10" s="15" t="str">
        <f>IF(DAY(FebSun1)=1,IF(AND(YEAR(FebSun1+33)=CalendarYear,MONTH(FebSun1+33)=2),FebSun1+33,""),IF(AND(YEAR(FebSun1+40)=CalendarYear,MONTH(FebSun1+40)=2),FebSun1+40,""))</f>
        <v/>
      </c>
      <c r="O10" s="15" t="str">
        <f>IF(DAY(FebSun1)=1,IF(AND(YEAR(FebSun1+34)=CalendarYear,MONTH(FebSun1+34)=2),FebSun1+34,""),IF(AND(YEAR(FebSun1+41)=CalendarYear,MONTH(FebSun1+41)=2),FebSun1+41,""))</f>
        <v/>
      </c>
      <c r="P10" s="14" t="str">
        <f>IF(DAY(FebSun1)=1,IF(AND(YEAR(FebSun1+35)=CalendarYear,MONTH(FebSun1+35)=2),FebSun1+35,""),IF(AND(YEAR(FebSun1+42)=CalendarYear,MONTH(FebSun1+42)=2),FebSun1+42,""))</f>
        <v/>
      </c>
      <c r="Q10" s="5"/>
      <c r="R10" s="5"/>
      <c r="S10" s="35">
        <f>DATE(CalendarYear,9,1+7*1)-WEEKDAY(DATE(CalendarYear,9,8-2))</f>
        <v>44445</v>
      </c>
      <c r="T10" s="36" t="str">
        <f>TEXT($S10, "ddd")</f>
        <v>Mon</v>
      </c>
      <c r="U10" s="37" t="s">
        <v>28</v>
      </c>
    </row>
    <row r="11" spans="1:21" ht="14.1" customHeight="1">
      <c r="A11" s="1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S11" s="35">
        <f>DATE(CalendarYear,10,1+7*2)-WEEKDAY(DATE(CalendarYear,10,8-2))</f>
        <v>44480</v>
      </c>
      <c r="T11" s="36" t="str">
        <f>TEXT($S11, "ddd")</f>
        <v>Mon</v>
      </c>
      <c r="U11" s="37" t="s">
        <v>29</v>
      </c>
    </row>
    <row r="12" spans="1:21" ht="14.1" customHeight="1">
      <c r="A12" s="1"/>
      <c r="B12" s="31" t="s">
        <v>14</v>
      </c>
      <c r="C12" s="31"/>
      <c r="D12" s="31"/>
      <c r="E12" s="31"/>
      <c r="F12" s="31"/>
      <c r="G12" s="31"/>
      <c r="H12" s="31"/>
      <c r="I12" s="4"/>
      <c r="J12" s="32" t="s">
        <v>15</v>
      </c>
      <c r="K12" s="32"/>
      <c r="L12" s="32"/>
      <c r="M12" s="32"/>
      <c r="N12" s="32"/>
      <c r="O12" s="32"/>
      <c r="P12" s="32"/>
      <c r="Q12" s="5"/>
      <c r="R12" s="5"/>
      <c r="S12" s="20">
        <f>DATE(CalendarYear,11,11)</f>
        <v>44511</v>
      </c>
      <c r="T12" s="21" t="str">
        <f>TEXT($S12, "ddd")</f>
        <v>Thu</v>
      </c>
      <c r="U12" s="22" t="s">
        <v>19</v>
      </c>
    </row>
    <row r="13" spans="1:21" ht="14.1" customHeight="1">
      <c r="A13" s="1"/>
      <c r="B13" s="6" t="s">
        <v>0</v>
      </c>
      <c r="C13" s="6" t="s">
        <v>1</v>
      </c>
      <c r="D13" s="6" t="s">
        <v>2</v>
      </c>
      <c r="E13" s="6" t="s">
        <v>3</v>
      </c>
      <c r="F13" s="6" t="s">
        <v>2</v>
      </c>
      <c r="G13" s="6" t="s">
        <v>4</v>
      </c>
      <c r="H13" s="6" t="s">
        <v>0</v>
      </c>
      <c r="I13" s="4"/>
      <c r="J13" s="6" t="s">
        <v>0</v>
      </c>
      <c r="K13" s="6" t="s">
        <v>1</v>
      </c>
      <c r="L13" s="6" t="s">
        <v>2</v>
      </c>
      <c r="M13" s="6" t="s">
        <v>3</v>
      </c>
      <c r="N13" s="6" t="s">
        <v>2</v>
      </c>
      <c r="O13" s="6" t="s">
        <v>4</v>
      </c>
      <c r="P13" s="6" t="s">
        <v>0</v>
      </c>
      <c r="Q13" s="5"/>
      <c r="R13" s="5"/>
      <c r="S13" s="20">
        <f>DATE(CalendarYear,12,25)</f>
        <v>44555</v>
      </c>
      <c r="T13" s="21" t="str">
        <f>TEXT($S13, "ddd")</f>
        <v>Sat</v>
      </c>
      <c r="U13" s="22" t="s">
        <v>20</v>
      </c>
    </row>
    <row r="14" spans="1:21" ht="14.1" customHeight="1">
      <c r="A14" s="1"/>
      <c r="B14" s="14" t="str">
        <f>IF(DAY(MarSun1)=1,"",IF(AND(YEAR(MarSun1+1)=CalendarYear,MONTH(MarSun1+1)=3),MarSun1+1,""))</f>
        <v/>
      </c>
      <c r="C14" s="15">
        <f>IF(DAY(MarSun1)=1,"",IF(AND(YEAR(MarSun1+2)=CalendarYear,MONTH(MarSun1+2)=3),MarSun1+2,""))</f>
        <v>44256</v>
      </c>
      <c r="D14" s="15">
        <f>IF(DAY(MarSun1)=1,"",IF(AND(YEAR(MarSun1+3)=CalendarYear,MONTH(MarSun1+3)=3),MarSun1+3,""))</f>
        <v>44257</v>
      </c>
      <c r="E14" s="15">
        <f>IF(DAY(MarSun1)=1,"",IF(AND(YEAR(MarSun1+4)=CalendarYear,MONTH(MarSun1+4)=3),MarSun1+4,""))</f>
        <v>44258</v>
      </c>
      <c r="F14" s="15">
        <f>IF(DAY(MarSun1)=1,"",IF(AND(YEAR(MarSun1+5)=CalendarYear,MONTH(MarSun1+5)=3),MarSun1+5,""))</f>
        <v>44259</v>
      </c>
      <c r="G14" s="15">
        <f>IF(DAY(MarSun1)=1,"",IF(AND(YEAR(MarSun1+6)=CalendarYear,MONTH(MarSun1+6)=3),MarSun1+6,""))</f>
        <v>44260</v>
      </c>
      <c r="H14" s="15">
        <f>IF(DAY(MarSun1)=1,IF(AND(YEAR(MarSun1)=CalendarYear,MONTH(MarSun1)=3),MarSun1,""),IF(AND(YEAR(MarSun1+7)=CalendarYear,MONTH(MarSun1+7)=3),MarSun1+7,""))</f>
        <v>44261</v>
      </c>
      <c r="I14" s="4"/>
      <c r="J14" s="14" t="str">
        <f>IF(DAY(AprSun1)=1,"",IF(AND(YEAR(AprSun1+1)=CalendarYear,MONTH(AprSun1+1)=4),AprSun1+1,""))</f>
        <v/>
      </c>
      <c r="K14" s="15" t="str">
        <f>IF(DAY(AprSun1)=1,"",IF(AND(YEAR(AprSun1+2)=CalendarYear,MONTH(AprSun1+2)=4),AprSun1+2,""))</f>
        <v/>
      </c>
      <c r="L14" s="15" t="str">
        <f>IF(DAY(AprSun1)=1,"",IF(AND(YEAR(AprSun1+3)=CalendarYear,MONTH(AprSun1+3)=4),AprSun1+3,""))</f>
        <v/>
      </c>
      <c r="M14" s="15" t="str">
        <f>IF(DAY(AprSun1)=1,"",IF(AND(YEAR(AprSun1+4)=CalendarYear,MONTH(AprSun1+4)=4),AprSun1+4,""))</f>
        <v/>
      </c>
      <c r="N14" s="15">
        <f>IF(DAY(AprSun1)=1,"",IF(AND(YEAR(AprSun1+5)=CalendarYear,MONTH(AprSun1+5)=4),AprSun1+5,""))</f>
        <v>44287</v>
      </c>
      <c r="O14" s="15">
        <f>IF(DAY(AprSun1)=1,"",IF(AND(YEAR(AprSun1+6)=CalendarYear,MONTH(AprSun1+6)=4),AprSun1+6,""))</f>
        <v>44288</v>
      </c>
      <c r="P14" s="14">
        <f>IF(DAY(AprSun1)=1,IF(AND(YEAR(AprSun1)=CalendarYear,MONTH(AprSun1)=4),AprSun1,""),IF(AND(YEAR(AprSun1+7)=CalendarYear,MONTH(AprSun1+7)=4),AprSun1+7,""))</f>
        <v>44289</v>
      </c>
      <c r="Q14" s="5"/>
      <c r="R14" s="5"/>
      <c r="S14" s="20">
        <f>DATE(CalendarYear,12,26)</f>
        <v>44556</v>
      </c>
      <c r="T14" s="23" t="str">
        <f>TEXT($S14, "ddd")</f>
        <v>Sun</v>
      </c>
      <c r="U14" s="22" t="s">
        <v>30</v>
      </c>
    </row>
    <row r="15" spans="1:21" ht="14.1" customHeight="1">
      <c r="A15" s="1"/>
      <c r="B15" s="14">
        <f>IF(DAY(MarSun1)=1,IF(AND(YEAR(MarSun1+1)=CalendarYear,MONTH(MarSun1+1)=3),MarSun1+1,""),IF(AND(YEAR(MarSun1+8)=CalendarYear,MONTH(MarSun1+8)=3),MarSun1+8,""))</f>
        <v>44262</v>
      </c>
      <c r="C15" s="15">
        <f>IF(DAY(MarSun1)=1,IF(AND(YEAR(MarSun1+2)=CalendarYear,MONTH(MarSun1+2)=3),MarSun1+2,""),IF(AND(YEAR(MarSun1+9)=CalendarYear,MONTH(MarSun1+9)=3),MarSun1+9,""))</f>
        <v>44263</v>
      </c>
      <c r="D15" s="15">
        <f>IF(DAY(MarSun1)=1,IF(AND(YEAR(MarSun1+3)=CalendarYear,MONTH(MarSun1+3)=3),MarSun1+3,""),IF(AND(YEAR(MarSun1+10)=CalendarYear,MONTH(MarSun1+10)=3),MarSun1+10,""))</f>
        <v>44264</v>
      </c>
      <c r="E15" s="15">
        <f>IF(DAY(MarSun1)=1,IF(AND(YEAR(MarSun1+4)=CalendarYear,MONTH(MarSun1+4)=3),MarSun1+4,""),IF(AND(YEAR(MarSun1+11)=CalendarYear,MONTH(MarSun1+11)=3),MarSun1+11,""))</f>
        <v>44265</v>
      </c>
      <c r="F15" s="15">
        <f>IF(DAY(MarSun1)=1,IF(AND(YEAR(MarSun1+5)=CalendarYear,MONTH(MarSun1+5)=3),MarSun1+5,""),IF(AND(YEAR(MarSun1+12)=CalendarYear,MONTH(MarSun1+12)=3),MarSun1+12,""))</f>
        <v>44266</v>
      </c>
      <c r="G15" s="15">
        <f>IF(DAY(MarSun1)=1,IF(AND(YEAR(MarSun1+6)=CalendarYear,MONTH(MarSun1+6)=3),MarSun1+6,""),IF(AND(YEAR(MarSun1+13)=CalendarYear,MONTH(MarSun1+13)=3),MarSun1+13,""))</f>
        <v>44267</v>
      </c>
      <c r="H15" s="14">
        <f>IF(DAY(MarSun1)=1,IF(AND(YEAR(MarSun1+7)=CalendarYear,MONTH(MarSun1+7)=3),MarSun1+7,""),IF(AND(YEAR(MarSun1+14)=CalendarYear,MONTH(MarSun1+14)=3),MarSun1+14,""))</f>
        <v>44268</v>
      </c>
      <c r="I15" s="4"/>
      <c r="J15" s="14">
        <f>IF(DAY(AprSun1)=1,IF(AND(YEAR(AprSun1+1)=CalendarYear,MONTH(AprSun1+1)=4),AprSun1+1,""),IF(AND(YEAR(AprSun1+8)=CalendarYear,MONTH(AprSun1+8)=4),AprSun1+8,""))</f>
        <v>44290</v>
      </c>
      <c r="K15" s="15">
        <f>IF(DAY(AprSun1)=1,IF(AND(YEAR(AprSun1+2)=CalendarYear,MONTH(AprSun1+2)=4),AprSun1+2,""),IF(AND(YEAR(AprSun1+9)=CalendarYear,MONTH(AprSun1+9)=4),AprSun1+9,""))</f>
        <v>44291</v>
      </c>
      <c r="L15" s="15">
        <f>IF(DAY(AprSun1)=1,IF(AND(YEAR(AprSun1+3)=CalendarYear,MONTH(AprSun1+3)=4),AprSun1+3,""),IF(AND(YEAR(AprSun1+10)=CalendarYear,MONTH(AprSun1+10)=4),AprSun1+10,""))</f>
        <v>44292</v>
      </c>
      <c r="M15" s="15">
        <f>IF(DAY(AprSun1)=1,IF(AND(YEAR(AprSun1+4)=CalendarYear,MONTH(AprSun1+4)=4),AprSun1+4,""),IF(AND(YEAR(AprSun1+11)=CalendarYear,MONTH(AprSun1+11)=4),AprSun1+11,""))</f>
        <v>44293</v>
      </c>
      <c r="N15" s="15">
        <f>IF(DAY(AprSun1)=1,IF(AND(YEAR(AprSun1+5)=CalendarYear,MONTH(AprSun1+5)=4),AprSun1+5,""),IF(AND(YEAR(AprSun1+12)=CalendarYear,MONTH(AprSun1+12)=4),AprSun1+12,""))</f>
        <v>44294</v>
      </c>
      <c r="O15" s="15">
        <f>IF(DAY(AprSun1)=1,IF(AND(YEAR(AprSun1+6)=CalendarYear,MONTH(AprSun1+6)=4),AprSun1+6,""),IF(AND(YEAR(AprSun1+13)=CalendarYear,MONTH(AprSun1+13)=4),AprSun1+13,""))</f>
        <v>44295</v>
      </c>
      <c r="P15" s="14">
        <f>IF(DAY(AprSun1)=1,IF(AND(YEAR(AprSun1+7)=CalendarYear,MONTH(AprSun1+7)=4),AprSun1+7,""),IF(AND(YEAR(AprSun1+14)=CalendarYear,MONTH(AprSun1+14)=4),AprSun1+14,""))</f>
        <v>44296</v>
      </c>
      <c r="Q15" s="5"/>
      <c r="R15" s="5"/>
      <c r="S15" s="20"/>
      <c r="T15" s="23"/>
      <c r="U15" s="22"/>
    </row>
    <row r="16" spans="1:21" ht="14.1" customHeight="1">
      <c r="A16" s="1"/>
      <c r="B16" s="14">
        <f>IF(DAY(MarSun1)=1,IF(AND(YEAR(MarSun1+8)=CalendarYear,MONTH(MarSun1+8)=3),MarSun1+8,""),IF(AND(YEAR(MarSun1+15)=CalendarYear,MONTH(MarSun1+15)=3),MarSun1+15,""))</f>
        <v>44269</v>
      </c>
      <c r="C16" s="15">
        <f>IF(DAY(MarSun1)=1,IF(AND(YEAR(MarSun1+9)=CalendarYear,MONTH(MarSun1+9)=3),MarSun1+9,""),IF(AND(YEAR(MarSun1+16)=CalendarYear,MONTH(MarSun1+16)=3),MarSun1+16,""))</f>
        <v>44270</v>
      </c>
      <c r="D16" s="15">
        <f>IF(DAY(MarSun1)=1,IF(AND(YEAR(MarSun1+10)=CalendarYear,MONTH(MarSun1+10)=3),MarSun1+10,""),IF(AND(YEAR(MarSun1+17)=CalendarYear,MONTH(MarSun1+17)=3),MarSun1+17,""))</f>
        <v>44271</v>
      </c>
      <c r="E16" s="15">
        <f>IF(DAY(MarSun1)=1,IF(AND(YEAR(MarSun1+11)=CalendarYear,MONTH(MarSun1+11)=3),MarSun1+11,""),IF(AND(YEAR(MarSun1+18)=CalendarYear,MONTH(MarSun1+18)=3),MarSun1+18,""))</f>
        <v>44272</v>
      </c>
      <c r="F16" s="15">
        <f>IF(DAY(MarSun1)=1,IF(AND(YEAR(MarSun1+12)=CalendarYear,MONTH(MarSun1+12)=3),MarSun1+12,""),IF(AND(YEAR(MarSun1+19)=CalendarYear,MONTH(MarSun1+19)=3),MarSun1+19,""))</f>
        <v>44273</v>
      </c>
      <c r="G16" s="15">
        <f>IF(DAY(MarSun1)=1,IF(AND(YEAR(MarSun1+13)=CalendarYear,MONTH(MarSun1+13)=3),MarSun1+13,""),IF(AND(YEAR(MarSun1+20)=CalendarYear,MONTH(MarSun1+20)=3),MarSun1+20,""))</f>
        <v>44274</v>
      </c>
      <c r="H16" s="14">
        <f>IF(DAY(MarSun1)=1,IF(AND(YEAR(MarSun1+14)=CalendarYear,MONTH(MarSun1+14)=3),MarSun1+14,""),IF(AND(YEAR(MarSun1+21)=CalendarYear,MONTH(MarSun1+21)=3),MarSun1+21,""))</f>
        <v>44275</v>
      </c>
      <c r="I16" s="4"/>
      <c r="J16" s="14">
        <f>IF(DAY(AprSun1)=1,IF(AND(YEAR(AprSun1+8)=CalendarYear,MONTH(AprSun1+8)=4),AprSun1+8,""),IF(AND(YEAR(AprSun1+15)=CalendarYear,MONTH(AprSun1+15)=4),AprSun1+15,""))</f>
        <v>44297</v>
      </c>
      <c r="K16" s="15">
        <f>IF(DAY(AprSun1)=1,IF(AND(YEAR(AprSun1+9)=CalendarYear,MONTH(AprSun1+9)=4),AprSun1+9,""),IF(AND(YEAR(AprSun1+16)=CalendarYear,MONTH(AprSun1+16)=4),AprSun1+16,""))</f>
        <v>44298</v>
      </c>
      <c r="L16" s="15">
        <f>IF(DAY(AprSun1)=1,IF(AND(YEAR(AprSun1+10)=CalendarYear,MONTH(AprSun1+10)=4),AprSun1+10,""),IF(AND(YEAR(AprSun1+17)=CalendarYear,MONTH(AprSun1+17)=4),AprSun1+17,""))</f>
        <v>44299</v>
      </c>
      <c r="M16" s="15">
        <f>IF(DAY(AprSun1)=1,IF(AND(YEAR(AprSun1+11)=CalendarYear,MONTH(AprSun1+11)=4),AprSun1+11,""),IF(AND(YEAR(AprSun1+18)=CalendarYear,MONTH(AprSun1+18)=4),AprSun1+18,""))</f>
        <v>44300</v>
      </c>
      <c r="N16" s="15">
        <f>IF(DAY(AprSun1)=1,IF(AND(YEAR(AprSun1+12)=CalendarYear,MONTH(AprSun1+12)=4),AprSun1+12,""),IF(AND(YEAR(AprSun1+19)=CalendarYear,MONTH(AprSun1+19)=4),AprSun1+19,""))</f>
        <v>44301</v>
      </c>
      <c r="O16" s="15">
        <f>IF(DAY(AprSun1)=1,IF(AND(YEAR(AprSun1+13)=CalendarYear,MONTH(AprSun1+13)=4),AprSun1+13,""),IF(AND(YEAR(AprSun1+20)=CalendarYear,MONTH(AprSun1+20)=4),AprSun1+20,""))</f>
        <v>44302</v>
      </c>
      <c r="P16" s="14">
        <f>IF(DAY(AprSun1)=1,IF(AND(YEAR(AprSun1+14)=CalendarYear,MONTH(AprSun1+14)=4),AprSun1+14,""),IF(AND(YEAR(AprSun1+21)=CalendarYear,MONTH(AprSun1+21)=4),AprSun1+21,""))</f>
        <v>44303</v>
      </c>
      <c r="Q16" s="5"/>
      <c r="R16" s="5"/>
      <c r="S16" s="35"/>
      <c r="T16" s="36"/>
      <c r="U16" s="37"/>
    </row>
    <row r="17" spans="1:18" ht="14.1" customHeight="1">
      <c r="A17" s="1"/>
      <c r="B17" s="14">
        <f>IF(DAY(MarSun1)=1,IF(AND(YEAR(MarSun1+15)=CalendarYear,MONTH(MarSun1+15)=3),MarSun1+15,""),IF(AND(YEAR(MarSun1+22)=CalendarYear,MONTH(MarSun1+22)=3),MarSun1+22,""))</f>
        <v>44276</v>
      </c>
      <c r="C17" s="15">
        <f>IF(DAY(MarSun1)=1,IF(AND(YEAR(MarSun1+16)=CalendarYear,MONTH(MarSun1+16)=3),MarSun1+16,""),IF(AND(YEAR(MarSun1+23)=CalendarYear,MONTH(MarSun1+23)=3),MarSun1+23,""))</f>
        <v>44277</v>
      </c>
      <c r="D17" s="15">
        <f>IF(DAY(MarSun1)=1,IF(AND(YEAR(MarSun1+17)=CalendarYear,MONTH(MarSun1+17)=3),MarSun1+17,""),IF(AND(YEAR(MarSun1+24)=CalendarYear,MONTH(MarSun1+24)=3),MarSun1+24,""))</f>
        <v>44278</v>
      </c>
      <c r="E17" s="15">
        <f>IF(DAY(MarSun1)=1,IF(AND(YEAR(MarSun1+18)=CalendarYear,MONTH(MarSun1+18)=3),MarSun1+18,""),IF(AND(YEAR(MarSun1+25)=CalendarYear,MONTH(MarSun1+25)=3),MarSun1+25,""))</f>
        <v>44279</v>
      </c>
      <c r="F17" s="15">
        <f>IF(DAY(MarSun1)=1,IF(AND(YEAR(MarSun1+19)=CalendarYear,MONTH(MarSun1+19)=3),MarSun1+19,""),IF(AND(YEAR(MarSun1+26)=CalendarYear,MONTH(MarSun1+26)=3),MarSun1+26,""))</f>
        <v>44280</v>
      </c>
      <c r="G17" s="15">
        <f>IF(DAY(MarSun1)=1,IF(AND(YEAR(MarSun1+20)=CalendarYear,MONTH(MarSun1+20)=3),MarSun1+20,""),IF(AND(YEAR(MarSun1+27)=CalendarYear,MONTH(MarSun1+27)=3),MarSun1+27,""))</f>
        <v>44281</v>
      </c>
      <c r="H17" s="14">
        <f>IF(DAY(MarSun1)=1,IF(AND(YEAR(MarSun1+21)=CalendarYear,MONTH(MarSun1+21)=3),MarSun1+21,""),IF(AND(YEAR(MarSun1+28)=CalendarYear,MONTH(MarSun1+28)=3),MarSun1+28,""))</f>
        <v>44282</v>
      </c>
      <c r="I17" s="4"/>
      <c r="J17" s="14">
        <f>IF(DAY(AprSun1)=1,IF(AND(YEAR(AprSun1+15)=CalendarYear,MONTH(AprSun1+15)=4),AprSun1+15,""),IF(AND(YEAR(AprSun1+22)=CalendarYear,MONTH(AprSun1+22)=4),AprSun1+22,""))</f>
        <v>44304</v>
      </c>
      <c r="K17" s="15">
        <f>IF(DAY(AprSun1)=1,IF(AND(YEAR(AprSun1+16)=CalendarYear,MONTH(AprSun1+16)=4),AprSun1+16,""),IF(AND(YEAR(AprSun1+23)=CalendarYear,MONTH(AprSun1+23)=4),AprSun1+23,""))</f>
        <v>44305</v>
      </c>
      <c r="L17" s="15">
        <f>IF(DAY(AprSun1)=1,IF(AND(YEAR(AprSun1+17)=CalendarYear,MONTH(AprSun1+17)=4),AprSun1+17,""),IF(AND(YEAR(AprSun1+24)=CalendarYear,MONTH(AprSun1+24)=4),AprSun1+24,""))</f>
        <v>44306</v>
      </c>
      <c r="M17" s="15">
        <f>IF(DAY(AprSun1)=1,IF(AND(YEAR(AprSun1+18)=CalendarYear,MONTH(AprSun1+18)=4),AprSun1+18,""),IF(AND(YEAR(AprSun1+25)=CalendarYear,MONTH(AprSun1+25)=4),AprSun1+25,""))</f>
        <v>44307</v>
      </c>
      <c r="N17" s="15">
        <f>IF(DAY(AprSun1)=1,IF(AND(YEAR(AprSun1+19)=CalendarYear,MONTH(AprSun1+19)=4),AprSun1+19,""),IF(AND(YEAR(AprSun1+26)=CalendarYear,MONTH(AprSun1+26)=4),AprSun1+26,""))</f>
        <v>44308</v>
      </c>
      <c r="O17" s="15">
        <f>IF(DAY(AprSun1)=1,IF(AND(YEAR(AprSun1+20)=CalendarYear,MONTH(AprSun1+20)=4),AprSun1+20,""),IF(AND(YEAR(AprSun1+27)=CalendarYear,MONTH(AprSun1+27)=4),AprSun1+27,""))</f>
        <v>44309</v>
      </c>
      <c r="P17" s="14">
        <f>IF(DAY(AprSun1)=1,IF(AND(YEAR(AprSun1+21)=CalendarYear,MONTH(AprSun1+21)=4),AprSun1+21,""),IF(AND(YEAR(AprSun1+28)=CalendarYear,MONTH(AprSun1+28)=4),AprSun1+28,""))</f>
        <v>44310</v>
      </c>
      <c r="Q17" s="5"/>
      <c r="R17" s="5"/>
    </row>
    <row r="18" spans="1:18" ht="14.1" customHeight="1">
      <c r="A18" s="1"/>
      <c r="B18" s="14">
        <f>IF(DAY(MarSun1)=1,IF(AND(YEAR(MarSun1+22)=CalendarYear,MONTH(MarSun1+22)=3),MarSun1+22,""),IF(AND(YEAR(MarSun1+29)=CalendarYear,MONTH(MarSun1+29)=3),MarSun1+29,""))</f>
        <v>44283</v>
      </c>
      <c r="C18" s="15">
        <f>IF(DAY(MarSun1)=1,IF(AND(YEAR(MarSun1+23)=CalendarYear,MONTH(MarSun1+23)=3),MarSun1+23,""),IF(AND(YEAR(MarSun1+30)=CalendarYear,MONTH(MarSun1+30)=3),MarSun1+30,""))</f>
        <v>44284</v>
      </c>
      <c r="D18" s="15">
        <f>IF(DAY(MarSun1)=1,IF(AND(YEAR(MarSun1+24)=CalendarYear,MONTH(MarSun1+24)=3),MarSun1+24,""),IF(AND(YEAR(MarSun1+31)=CalendarYear,MONTH(MarSun1+31)=3),MarSun1+31,""))</f>
        <v>44285</v>
      </c>
      <c r="E18" s="15">
        <f>IF(DAY(MarSun1)=1,IF(AND(YEAR(MarSun1+25)=CalendarYear,MONTH(MarSun1+25)=3),MarSun1+25,""),IF(AND(YEAR(MarSun1+32)=CalendarYear,MONTH(MarSun1+32)=3),MarSun1+32,""))</f>
        <v>44286</v>
      </c>
      <c r="F18" s="15" t="str">
        <f>IF(DAY(MarSun1)=1,IF(AND(YEAR(MarSun1+26)=CalendarYear,MONTH(MarSun1+26)=3),MarSun1+26,""),IF(AND(YEAR(MarSun1+33)=CalendarYear,MONTH(MarSun1+33)=3),MarSun1+33,""))</f>
        <v/>
      </c>
      <c r="G18" s="15" t="str">
        <f>IF(DAY(MarSun1)=1,IF(AND(YEAR(MarSun1+27)=CalendarYear,MONTH(MarSun1+27)=3),MarSun1+27,""),IF(AND(YEAR(MarSun1+34)=CalendarYear,MONTH(MarSun1+34)=3),MarSun1+34,""))</f>
        <v/>
      </c>
      <c r="H18" s="14" t="str">
        <f>IF(DAY(MarSun1)=1,IF(AND(YEAR(MarSun1+28)=CalendarYear,MONTH(MarSun1+28)=3),MarSun1+28,""),IF(AND(YEAR(MarSun1+35)=CalendarYear,MONTH(MarSun1+35)=3),MarSun1+35,""))</f>
        <v/>
      </c>
      <c r="I18" s="4"/>
      <c r="J18" s="14">
        <f>IF(DAY(AprSun1)=1,IF(AND(YEAR(AprSun1+22)=CalendarYear,MONTH(AprSun1+22)=4),AprSun1+22,""),IF(AND(YEAR(AprSun1+29)=CalendarYear,MONTH(AprSun1+29)=4),AprSun1+29,""))</f>
        <v>44311</v>
      </c>
      <c r="K18" s="15">
        <f>IF(DAY(AprSun1)=1,IF(AND(YEAR(AprSun1+23)=CalendarYear,MONTH(AprSun1+23)=4),AprSun1+23,""),IF(AND(YEAR(AprSun1+30)=CalendarYear,MONTH(AprSun1+30)=4),AprSun1+30,""))</f>
        <v>44312</v>
      </c>
      <c r="L18" s="15">
        <f>IF(DAY(AprSun1)=1,IF(AND(YEAR(AprSun1+24)=CalendarYear,MONTH(AprSun1+24)=4),AprSun1+24,""),IF(AND(YEAR(AprSun1+31)=CalendarYear,MONTH(AprSun1+31)=4),AprSun1+31,""))</f>
        <v>44313</v>
      </c>
      <c r="M18" s="15">
        <f>IF(DAY(AprSun1)=1,IF(AND(YEAR(AprSun1+25)=CalendarYear,MONTH(AprSun1+25)=4),AprSun1+25,""),IF(AND(YEAR(AprSun1+32)=CalendarYear,MONTH(AprSun1+32)=4),AprSun1+32,""))</f>
        <v>44314</v>
      </c>
      <c r="N18" s="15">
        <f>IF(DAY(AprSun1)=1,IF(AND(YEAR(AprSun1+26)=CalendarYear,MONTH(AprSun1+26)=4),AprSun1+26,""),IF(AND(YEAR(AprSun1+33)=CalendarYear,MONTH(AprSun1+33)=4),AprSun1+33,""))</f>
        <v>44315</v>
      </c>
      <c r="O18" s="15">
        <f>IF(DAY(AprSun1)=1,IF(AND(YEAR(AprSun1+27)=CalendarYear,MONTH(AprSun1+27)=4),AprSun1+27,""),IF(AND(YEAR(AprSun1+34)=CalendarYear,MONTH(AprSun1+34)=4),AprSun1+34,""))</f>
        <v>44316</v>
      </c>
      <c r="P18" s="14" t="str">
        <f>IF(DAY(AprSun1)=1,IF(AND(YEAR(AprSun1+28)=CalendarYear,MONTH(AprSun1+28)=4),AprSun1+28,""),IF(AND(YEAR(AprSun1+35)=CalendarYear,MONTH(AprSun1+35)=4),AprSun1+35,""))</f>
        <v/>
      </c>
      <c r="Q18" s="5"/>
      <c r="R18" s="5"/>
    </row>
    <row r="19" spans="1:18" ht="14.1" customHeight="1">
      <c r="A19" s="1"/>
      <c r="B19" s="14" t="str">
        <f>IF(DAY(MarSun1)=1,IF(AND(YEAR(MarSun1+29)=CalendarYear,MONTH(MarSun1+29)=3),MarSun1+29,""),IF(AND(YEAR(MarSun1+36)=CalendarYear,MONTH(MarSun1+36)=3),MarSun1+36,""))</f>
        <v/>
      </c>
      <c r="C19" s="15" t="str">
        <f>IF(DAY(MarSun1)=1,IF(AND(YEAR(MarSun1+30)=CalendarYear,MONTH(MarSun1+30)=3),MarSun1+30,""),IF(AND(YEAR(MarSun1+37)=CalendarYear,MONTH(MarSun1+37)=3),MarSun1+37,""))</f>
        <v/>
      </c>
      <c r="D19" s="15" t="str">
        <f>IF(DAY(MarSun1)=1,IF(AND(YEAR(MarSun1+31)=CalendarYear,MONTH(MarSun1+31)=3),MarSun1+31,""),IF(AND(YEAR(MarSun1+38)=CalendarYear,MONTH(MarSun1+38)=3),MarSun1+38,""))</f>
        <v/>
      </c>
      <c r="E19" s="15" t="str">
        <f>IF(DAY(MarSun1)=1,IF(AND(YEAR(MarSun1+32)=CalendarYear,MONTH(MarSun1+32)=3),MarSun1+32,""),IF(AND(YEAR(MarSun1+39)=CalendarYear,MONTH(MarSun1+39)=3),MarSun1+39,""))</f>
        <v/>
      </c>
      <c r="F19" s="15" t="str">
        <f>IF(DAY(MarSun1)=1,IF(AND(YEAR(MarSun1+33)=CalendarYear,MONTH(MarSun1+33)=3),MarSun1+33,""),IF(AND(YEAR(MarSun1+40)=CalendarYear,MONTH(MarSun1+40)=3),MarSun1+40,""))</f>
        <v/>
      </c>
      <c r="G19" s="15" t="str">
        <f>IF(DAY(MarSun1)=1,IF(AND(YEAR(MarSun1+34)=CalendarYear,MONTH(MarSun1+34)=3),MarSun1+34,""),IF(AND(YEAR(MarSun1+41)=CalendarYear,MONTH(MarSun1+41)=3),MarSun1+41,""))</f>
        <v/>
      </c>
      <c r="H19" s="14" t="str">
        <f>IF(DAY(MarSun1)=1,IF(AND(YEAR(MarSun1+35)=CalendarYear,MONTH(MarSun1+35)=3),MarSun1+35,""),IF(AND(YEAR(MarSun1+42)=CalendarYear,MONTH(MarSun1+42)=3),MarSun1+42,""))</f>
        <v/>
      </c>
      <c r="I19" s="4"/>
      <c r="J19" s="14" t="str">
        <f>IF(DAY(AprSun1)=1,IF(AND(YEAR(AprSun1+29)=CalendarYear,MONTH(AprSun1+29)=4),AprSun1+29,""),IF(AND(YEAR(AprSun1+36)=CalendarYear,MONTH(AprSun1+36)=4),AprSun1+36,""))</f>
        <v/>
      </c>
      <c r="K19" s="15" t="str">
        <f>IF(DAY(AprSun1)=1,IF(AND(YEAR(AprSun1+30)=CalendarYear,MONTH(AprSun1+30)=4),AprSun1+30,""),IF(AND(YEAR(AprSun1+37)=CalendarYear,MONTH(AprSun1+37)=4),AprSun1+37,""))</f>
        <v/>
      </c>
      <c r="L19" s="15" t="str">
        <f>IF(DAY(AprSun1)=1,IF(AND(YEAR(AprSun1+31)=CalendarYear,MONTH(AprSun1+31)=4),AprSun1+31,""),IF(AND(YEAR(AprSun1+38)=CalendarYear,MONTH(AprSun1+38)=4),AprSun1+38,""))</f>
        <v/>
      </c>
      <c r="M19" s="15" t="str">
        <f>IF(DAY(AprSun1)=1,IF(AND(YEAR(AprSun1+32)=CalendarYear,MONTH(AprSun1+32)=4),AprSun1+32,""),IF(AND(YEAR(AprSun1+39)=CalendarYear,MONTH(AprSun1+39)=4),AprSun1+39,""))</f>
        <v/>
      </c>
      <c r="N19" s="15" t="str">
        <f>IF(DAY(AprSun1)=1,IF(AND(YEAR(AprSun1+33)=CalendarYear,MONTH(AprSun1+33)=4),AprSun1+33,""),IF(AND(YEAR(AprSun1+40)=CalendarYear,MONTH(AprSun1+40)=4),AprSun1+40,""))</f>
        <v/>
      </c>
      <c r="O19" s="15" t="str">
        <f>IF(DAY(AprSun1)=1,IF(AND(YEAR(AprSun1+34)=CalendarYear,MONTH(AprSun1+34)=4),AprSun1+34,""),IF(AND(YEAR(AprSun1+41)=CalendarYear,MONTH(AprSun1+41)=4),AprSun1+41,""))</f>
        <v/>
      </c>
      <c r="P19" s="14" t="str">
        <f>IF(DAY(AprSun1)=1,IF(AND(YEAR(AprSun1+35)=CalendarYear,MONTH(AprSun1+35)=4),AprSun1+35,""),IF(AND(YEAR(AprSun1+42)=CalendarYear,MONTH(AprSun1+42)=4),AprSun1+42,""))</f>
        <v/>
      </c>
      <c r="Q19" s="5"/>
      <c r="R19" s="5"/>
    </row>
    <row r="20" spans="1:18" ht="14.1" customHeight="1">
      <c r="A20" s="1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8" ht="14.1" customHeight="1">
      <c r="A21" s="1"/>
      <c r="B21" s="31" t="s">
        <v>7</v>
      </c>
      <c r="C21" s="31"/>
      <c r="D21" s="31"/>
      <c r="E21" s="31"/>
      <c r="F21" s="31"/>
      <c r="G21" s="31"/>
      <c r="H21" s="31"/>
      <c r="I21" s="4"/>
      <c r="J21" s="31" t="s">
        <v>6</v>
      </c>
      <c r="K21" s="31"/>
      <c r="L21" s="31"/>
      <c r="M21" s="31"/>
      <c r="N21" s="31"/>
      <c r="O21" s="31"/>
      <c r="P21" s="31"/>
      <c r="Q21" s="5"/>
      <c r="R21" s="5"/>
    </row>
    <row r="22" spans="1:18" ht="14.1" customHeight="1">
      <c r="A22" s="1"/>
      <c r="B22" s="6" t="s">
        <v>0</v>
      </c>
      <c r="C22" s="6" t="s">
        <v>1</v>
      </c>
      <c r="D22" s="6" t="s">
        <v>2</v>
      </c>
      <c r="E22" s="6" t="s">
        <v>3</v>
      </c>
      <c r="F22" s="6" t="s">
        <v>2</v>
      </c>
      <c r="G22" s="6" t="s">
        <v>4</v>
      </c>
      <c r="H22" s="6" t="s">
        <v>0</v>
      </c>
      <c r="I22" s="4"/>
      <c r="J22" s="6" t="s">
        <v>0</v>
      </c>
      <c r="K22" s="6" t="s">
        <v>1</v>
      </c>
      <c r="L22" s="6" t="s">
        <v>2</v>
      </c>
      <c r="M22" s="6" t="s">
        <v>3</v>
      </c>
      <c r="N22" s="6" t="s">
        <v>2</v>
      </c>
      <c r="O22" s="6" t="s">
        <v>4</v>
      </c>
      <c r="P22" s="6" t="s">
        <v>0</v>
      </c>
      <c r="Q22" s="5"/>
      <c r="R22" s="5"/>
    </row>
    <row r="23" spans="1:18" ht="14.1" customHeight="1">
      <c r="A23" s="1"/>
      <c r="B23" s="14" t="str">
        <f>IF(DAY(MaySun1)=1,"",IF(AND(YEAR(MaySun1+1)=CalendarYear,MONTH(MaySun1+1)=5),MaySun1+1,""))</f>
        <v/>
      </c>
      <c r="C23" s="15" t="str">
        <f>IF(DAY(MaySun1)=1,"",IF(AND(YEAR(MaySun1+2)=CalendarYear,MONTH(MaySun1+2)=5),MaySun1+2,""))</f>
        <v/>
      </c>
      <c r="D23" s="15" t="str">
        <f>IF(DAY(MaySun1)=1,"",IF(AND(YEAR(MaySun1+3)=CalendarYear,MONTH(MaySun1+3)=5),MaySun1+3,""))</f>
        <v/>
      </c>
      <c r="E23" s="15" t="str">
        <f>IF(DAY(MaySun1)=1,"",IF(AND(YEAR(MaySun1+4)=CalendarYear,MONTH(MaySun1+4)=5),MaySun1+4,""))</f>
        <v/>
      </c>
      <c r="F23" s="15" t="str">
        <f>IF(DAY(MaySun1)=1,"",IF(AND(YEAR(MaySun1+5)=CalendarYear,MONTH(MaySun1+5)=5),MaySun1+5,""))</f>
        <v/>
      </c>
      <c r="G23" s="15" t="str">
        <f>IF(DAY(MaySun1)=1,"",IF(AND(YEAR(MaySun1+6)=CalendarYear,MONTH(MaySun1+6)=5),MaySun1+6,""))</f>
        <v/>
      </c>
      <c r="H23" s="14">
        <f>IF(DAY(MaySun1)=1,IF(AND(YEAR(MaySun1)=CalendarYear,MONTH(MaySun1)=5),MaySun1,""),IF(AND(YEAR(MaySun1+7)=CalendarYear,MONTH(MaySun1+7)=5),MaySun1+7,""))</f>
        <v>44317</v>
      </c>
      <c r="I23" s="4"/>
      <c r="J23" s="14" t="str">
        <f>IF(DAY(JunSun1)=1,"",IF(AND(YEAR(JunSun1+1)=CalendarYear,MONTH(JunSun1+1)=6),JunSun1+1,""))</f>
        <v/>
      </c>
      <c r="K23" s="15" t="str">
        <f>IF(DAY(JunSun1)=1,"",IF(AND(YEAR(JunSun1+2)=CalendarYear,MONTH(JunSun1+2)=6),JunSun1+2,""))</f>
        <v/>
      </c>
      <c r="L23" s="15">
        <f>IF(DAY(JunSun1)=1,"",IF(AND(YEAR(JunSun1+3)=CalendarYear,MONTH(JunSun1+3)=6),JunSun1+3,""))</f>
        <v>44348</v>
      </c>
      <c r="M23" s="15">
        <f>IF(DAY(JunSun1)=1,"",IF(AND(YEAR(JunSun1+4)=CalendarYear,MONTH(JunSun1+4)=6),JunSun1+4,""))</f>
        <v>44349</v>
      </c>
      <c r="N23" s="15">
        <f>IF(DAY(JunSun1)=1,"",IF(AND(YEAR(JunSun1+5)=CalendarYear,MONTH(JunSun1+5)=6),JunSun1+5,""))</f>
        <v>44350</v>
      </c>
      <c r="O23" s="15">
        <f>IF(DAY(JunSun1)=1,"",IF(AND(YEAR(JunSun1+6)=CalendarYear,MONTH(JunSun1+6)=6),JunSun1+6,""))</f>
        <v>44351</v>
      </c>
      <c r="P23" s="14">
        <f>IF(DAY(JunSun1)=1,IF(AND(YEAR(JunSun1)=CalendarYear,MONTH(JunSun1)=6),JunSun1,""),IF(AND(YEAR(JunSun1+7)=CalendarYear,MONTH(JunSun1+7)=6),JunSun1+7,""))</f>
        <v>44352</v>
      </c>
      <c r="Q23" s="5"/>
      <c r="R23" s="5"/>
    </row>
    <row r="24" spans="1:18" ht="14.1" customHeight="1">
      <c r="A24" s="1"/>
      <c r="B24" s="14">
        <f>IF(DAY(MaySun1)=1,IF(AND(YEAR(MaySun1+1)=CalendarYear,MONTH(MaySun1+1)=5),MaySun1+1,""),IF(AND(YEAR(MaySun1+8)=CalendarYear,MONTH(MaySun1+8)=5),MaySun1+8,""))</f>
        <v>44318</v>
      </c>
      <c r="C24" s="15">
        <f>IF(DAY(MaySun1)=1,IF(AND(YEAR(MaySun1+2)=CalendarYear,MONTH(MaySun1+2)=5),MaySun1+2,""),IF(AND(YEAR(MaySun1+9)=CalendarYear,MONTH(MaySun1+9)=5),MaySun1+9,""))</f>
        <v>44319</v>
      </c>
      <c r="D24" s="15">
        <f>IF(DAY(MaySun1)=1,IF(AND(YEAR(MaySun1+3)=CalendarYear,MONTH(MaySun1+3)=5),MaySun1+3,""),IF(AND(YEAR(MaySun1+10)=CalendarYear,MONTH(MaySun1+10)=5),MaySun1+10,""))</f>
        <v>44320</v>
      </c>
      <c r="E24" s="15">
        <f>IF(DAY(MaySun1)=1,IF(AND(YEAR(MaySun1+4)=CalendarYear,MONTH(MaySun1+4)=5),MaySun1+4,""),IF(AND(YEAR(MaySun1+11)=CalendarYear,MONTH(MaySun1+11)=5),MaySun1+11,""))</f>
        <v>44321</v>
      </c>
      <c r="F24" s="15">
        <f>IF(DAY(MaySun1)=1,IF(AND(YEAR(MaySun1+5)=CalendarYear,MONTH(MaySun1+5)=5),MaySun1+5,""),IF(AND(YEAR(MaySun1+12)=CalendarYear,MONTH(MaySun1+12)=5),MaySun1+12,""))</f>
        <v>44322</v>
      </c>
      <c r="G24" s="15">
        <f>IF(DAY(MaySun1)=1,IF(AND(YEAR(MaySun1+6)=CalendarYear,MONTH(MaySun1+6)=5),MaySun1+6,""),IF(AND(YEAR(MaySun1+13)=CalendarYear,MONTH(MaySun1+13)=5),MaySun1+13,""))</f>
        <v>44323</v>
      </c>
      <c r="H24" s="14">
        <f>IF(DAY(MaySun1)=1,IF(AND(YEAR(MaySun1+7)=CalendarYear,MONTH(MaySun1+7)=5),MaySun1+7,""),IF(AND(YEAR(MaySun1+14)=CalendarYear,MONTH(MaySun1+14)=5),MaySun1+14,""))</f>
        <v>44324</v>
      </c>
      <c r="I24" s="4"/>
      <c r="J24" s="14">
        <f>IF(DAY(JunSun1)=1,IF(AND(YEAR(JunSun1+1)=CalendarYear,MONTH(JunSun1+1)=6),JunSun1+1,""),IF(AND(YEAR(JunSun1+8)=CalendarYear,MONTH(JunSun1+8)=6),JunSun1+8,""))</f>
        <v>44353</v>
      </c>
      <c r="K24" s="15">
        <f>IF(DAY(JunSun1)=1,IF(AND(YEAR(JunSun1+2)=CalendarYear,MONTH(JunSun1+2)=6),JunSun1+2,""),IF(AND(YEAR(JunSun1+9)=CalendarYear,MONTH(JunSun1+9)=6),JunSun1+9,""))</f>
        <v>44354</v>
      </c>
      <c r="L24" s="15">
        <f>IF(DAY(JunSun1)=1,IF(AND(YEAR(JunSun1+3)=CalendarYear,MONTH(JunSun1+3)=6),JunSun1+3,""),IF(AND(YEAR(JunSun1+10)=CalendarYear,MONTH(JunSun1+10)=6),JunSun1+10,""))</f>
        <v>44355</v>
      </c>
      <c r="M24" s="15">
        <f>IF(DAY(JunSun1)=1,IF(AND(YEAR(JunSun1+4)=CalendarYear,MONTH(JunSun1+4)=6),JunSun1+4,""),IF(AND(YEAR(JunSun1+11)=CalendarYear,MONTH(JunSun1+11)=6),JunSun1+11,""))</f>
        <v>44356</v>
      </c>
      <c r="N24" s="15">
        <f>IF(DAY(JunSun1)=1,IF(AND(YEAR(JunSun1+5)=CalendarYear,MONTH(JunSun1+5)=6),JunSun1+5,""),IF(AND(YEAR(JunSun1+12)=CalendarYear,MONTH(JunSun1+12)=6),JunSun1+12,""))</f>
        <v>44357</v>
      </c>
      <c r="O24" s="15">
        <f>IF(DAY(JunSun1)=1,IF(AND(YEAR(JunSun1+6)=CalendarYear,MONTH(JunSun1+6)=6),JunSun1+6,""),IF(AND(YEAR(JunSun1+13)=CalendarYear,MONTH(JunSun1+13)=6),JunSun1+13,""))</f>
        <v>44358</v>
      </c>
      <c r="P24" s="14">
        <f>IF(DAY(JunSun1)=1,IF(AND(YEAR(JunSun1+7)=CalendarYear,MONTH(JunSun1+7)=6),JunSun1+7,""),IF(AND(YEAR(JunSun1+14)=CalendarYear,MONTH(JunSun1+14)=6),JunSun1+14,""))</f>
        <v>44359</v>
      </c>
      <c r="Q24" s="5"/>
      <c r="R24" s="5"/>
    </row>
    <row r="25" spans="1:18" ht="14.1" customHeight="1">
      <c r="A25" s="1"/>
      <c r="B25" s="14">
        <f>IF(DAY(MaySun1)=1,IF(AND(YEAR(MaySun1+8)=CalendarYear,MONTH(MaySun1+8)=5),MaySun1+8,""),IF(AND(YEAR(MaySun1+15)=CalendarYear,MONTH(MaySun1+15)=5),MaySun1+15,""))</f>
        <v>44325</v>
      </c>
      <c r="C25" s="15">
        <f>IF(DAY(MaySun1)=1,IF(AND(YEAR(MaySun1+9)=CalendarYear,MONTH(MaySun1+9)=5),MaySun1+9,""),IF(AND(YEAR(MaySun1+16)=CalendarYear,MONTH(MaySun1+16)=5),MaySun1+16,""))</f>
        <v>44326</v>
      </c>
      <c r="D25" s="15">
        <f>IF(DAY(MaySun1)=1,IF(AND(YEAR(MaySun1+10)=CalendarYear,MONTH(MaySun1+10)=5),MaySun1+10,""),IF(AND(YEAR(MaySun1+17)=CalendarYear,MONTH(MaySun1+17)=5),MaySun1+17,""))</f>
        <v>44327</v>
      </c>
      <c r="E25" s="15">
        <f>IF(DAY(MaySun1)=1,IF(AND(YEAR(MaySun1+11)=CalendarYear,MONTH(MaySun1+11)=5),MaySun1+11,""),IF(AND(YEAR(MaySun1+18)=CalendarYear,MONTH(MaySun1+18)=5),MaySun1+18,""))</f>
        <v>44328</v>
      </c>
      <c r="F25" s="15">
        <f>IF(DAY(MaySun1)=1,IF(AND(YEAR(MaySun1+12)=CalendarYear,MONTH(MaySun1+12)=5),MaySun1+12,""),IF(AND(YEAR(MaySun1+19)=CalendarYear,MONTH(MaySun1+19)=5),MaySun1+19,""))</f>
        <v>44329</v>
      </c>
      <c r="G25" s="15">
        <f>IF(DAY(MaySun1)=1,IF(AND(YEAR(MaySun1+13)=CalendarYear,MONTH(MaySun1+13)=5),MaySun1+13,""),IF(AND(YEAR(MaySun1+20)=CalendarYear,MONTH(MaySun1+20)=5),MaySun1+20,""))</f>
        <v>44330</v>
      </c>
      <c r="H25" s="14">
        <f>IF(DAY(MaySun1)=1,IF(AND(YEAR(MaySun1+14)=CalendarYear,MONTH(MaySun1+14)=5),MaySun1+14,""),IF(AND(YEAR(MaySun1+21)=CalendarYear,MONTH(MaySun1+21)=5),MaySun1+21,""))</f>
        <v>44331</v>
      </c>
      <c r="I25" s="4"/>
      <c r="J25" s="14">
        <f>IF(DAY(JunSun1)=1,IF(AND(YEAR(JunSun1+8)=CalendarYear,MONTH(JunSun1+8)=6),JunSun1+8,""),IF(AND(YEAR(JunSun1+15)=CalendarYear,MONTH(JunSun1+15)=6),JunSun1+15,""))</f>
        <v>44360</v>
      </c>
      <c r="K25" s="15">
        <f>IF(DAY(JunSun1)=1,IF(AND(YEAR(JunSun1+9)=CalendarYear,MONTH(JunSun1+9)=6),JunSun1+9,""),IF(AND(YEAR(JunSun1+16)=CalendarYear,MONTH(JunSun1+16)=6),JunSun1+16,""))</f>
        <v>44361</v>
      </c>
      <c r="L25" s="15">
        <f>IF(DAY(JunSun1)=1,IF(AND(YEAR(JunSun1+10)=CalendarYear,MONTH(JunSun1+10)=6),JunSun1+10,""),IF(AND(YEAR(JunSun1+17)=CalendarYear,MONTH(JunSun1+17)=6),JunSun1+17,""))</f>
        <v>44362</v>
      </c>
      <c r="M25" s="15">
        <f>IF(DAY(JunSun1)=1,IF(AND(YEAR(JunSun1+11)=CalendarYear,MONTH(JunSun1+11)=6),JunSun1+11,""),IF(AND(YEAR(JunSun1+18)=CalendarYear,MONTH(JunSun1+18)=6),JunSun1+18,""))</f>
        <v>44363</v>
      </c>
      <c r="N25" s="15">
        <f>IF(DAY(JunSun1)=1,IF(AND(YEAR(JunSun1+12)=CalendarYear,MONTH(JunSun1+12)=6),JunSun1+12,""),IF(AND(YEAR(JunSun1+19)=CalendarYear,MONTH(JunSun1+19)=6),JunSun1+19,""))</f>
        <v>44364</v>
      </c>
      <c r="O25" s="15">
        <f>IF(DAY(JunSun1)=1,IF(AND(YEAR(JunSun1+13)=CalendarYear,MONTH(JunSun1+13)=6),JunSun1+13,""),IF(AND(YEAR(JunSun1+20)=CalendarYear,MONTH(JunSun1+20)=6),JunSun1+20,""))</f>
        <v>44365</v>
      </c>
      <c r="P25" s="14">
        <f>IF(DAY(JunSun1)=1,IF(AND(YEAR(JunSun1+14)=CalendarYear,MONTH(JunSun1+14)=6),JunSun1+14,""),IF(AND(YEAR(JunSun1+21)=CalendarYear,MONTH(JunSun1+21)=6),JunSun1+21,""))</f>
        <v>44366</v>
      </c>
      <c r="Q25" s="5"/>
      <c r="R25" s="5"/>
    </row>
    <row r="26" spans="1:18" ht="14.1" customHeight="1">
      <c r="A26" s="1"/>
      <c r="B26" s="14">
        <f>IF(DAY(MaySun1)=1,IF(AND(YEAR(MaySun1+15)=CalendarYear,MONTH(MaySun1+15)=5),MaySun1+15,""),IF(AND(YEAR(MaySun1+22)=CalendarYear,MONTH(MaySun1+22)=5),MaySun1+22,""))</f>
        <v>44332</v>
      </c>
      <c r="C26" s="15">
        <f>IF(DAY(MaySun1)=1,IF(AND(YEAR(MaySun1+16)=CalendarYear,MONTH(MaySun1+16)=5),MaySun1+16,""),IF(AND(YEAR(MaySun1+23)=CalendarYear,MONTH(MaySun1+23)=5),MaySun1+23,""))</f>
        <v>44333</v>
      </c>
      <c r="D26" s="15">
        <f>IF(DAY(MaySun1)=1,IF(AND(YEAR(MaySun1+17)=CalendarYear,MONTH(MaySun1+17)=5),MaySun1+17,""),IF(AND(YEAR(MaySun1+24)=CalendarYear,MONTH(MaySun1+24)=5),MaySun1+24,""))</f>
        <v>44334</v>
      </c>
      <c r="E26" s="15">
        <f>IF(DAY(MaySun1)=1,IF(AND(YEAR(MaySun1+18)=CalendarYear,MONTH(MaySun1+18)=5),MaySun1+18,""),IF(AND(YEAR(MaySun1+25)=CalendarYear,MONTH(MaySun1+25)=5),MaySun1+25,""))</f>
        <v>44335</v>
      </c>
      <c r="F26" s="15">
        <f>IF(DAY(MaySun1)=1,IF(AND(YEAR(MaySun1+19)=CalendarYear,MONTH(MaySun1+19)=5),MaySun1+19,""),IF(AND(YEAR(MaySun1+26)=CalendarYear,MONTH(MaySun1+26)=5),MaySun1+26,""))</f>
        <v>44336</v>
      </c>
      <c r="G26" s="15">
        <f>IF(DAY(MaySun1)=1,IF(AND(YEAR(MaySun1+20)=CalendarYear,MONTH(MaySun1+20)=5),MaySun1+20,""),IF(AND(YEAR(MaySun1+27)=CalendarYear,MONTH(MaySun1+27)=5),MaySun1+27,""))</f>
        <v>44337</v>
      </c>
      <c r="H26" s="14">
        <f>IF(DAY(MaySun1)=1,IF(AND(YEAR(MaySun1+21)=CalendarYear,MONTH(MaySun1+21)=5),MaySun1+21,""),IF(AND(YEAR(MaySun1+28)=CalendarYear,MONTH(MaySun1+28)=5),MaySun1+28,""))</f>
        <v>44338</v>
      </c>
      <c r="I26" s="4"/>
      <c r="J26" s="14">
        <f>IF(DAY(JunSun1)=1,IF(AND(YEAR(JunSun1+15)=CalendarYear,MONTH(JunSun1+15)=6),JunSun1+15,""),IF(AND(YEAR(JunSun1+22)=CalendarYear,MONTH(JunSun1+22)=6),JunSun1+22,""))</f>
        <v>44367</v>
      </c>
      <c r="K26" s="15">
        <f>IF(DAY(JunSun1)=1,IF(AND(YEAR(JunSun1+16)=CalendarYear,MONTH(JunSun1+16)=6),JunSun1+16,""),IF(AND(YEAR(JunSun1+23)=CalendarYear,MONTH(JunSun1+23)=6),JunSun1+23,""))</f>
        <v>44368</v>
      </c>
      <c r="L26" s="15">
        <f>IF(DAY(JunSun1)=1,IF(AND(YEAR(JunSun1+17)=CalendarYear,MONTH(JunSun1+17)=6),JunSun1+17,""),IF(AND(YEAR(JunSun1+24)=CalendarYear,MONTH(JunSun1+24)=6),JunSun1+24,""))</f>
        <v>44369</v>
      </c>
      <c r="M26" s="15">
        <f>IF(DAY(JunSun1)=1,IF(AND(YEAR(JunSun1+18)=CalendarYear,MONTH(JunSun1+18)=6),JunSun1+18,""),IF(AND(YEAR(JunSun1+25)=CalendarYear,MONTH(JunSun1+25)=6),JunSun1+25,""))</f>
        <v>44370</v>
      </c>
      <c r="N26" s="15">
        <f>IF(DAY(JunSun1)=1,IF(AND(YEAR(JunSun1+19)=CalendarYear,MONTH(JunSun1+19)=6),JunSun1+19,""),IF(AND(YEAR(JunSun1+26)=CalendarYear,MONTH(JunSun1+26)=6),JunSun1+26,""))</f>
        <v>44371</v>
      </c>
      <c r="O26" s="15">
        <f>IF(DAY(JunSun1)=1,IF(AND(YEAR(JunSun1+20)=CalendarYear,MONTH(JunSun1+20)=6),JunSun1+20,""),IF(AND(YEAR(JunSun1+27)=CalendarYear,MONTH(JunSun1+27)=6),JunSun1+27,""))</f>
        <v>44372</v>
      </c>
      <c r="P26" s="14">
        <f>IF(DAY(JunSun1)=1,IF(AND(YEAR(JunSun1+21)=CalendarYear,MONTH(JunSun1+21)=6),JunSun1+21,""),IF(AND(YEAR(JunSun1+28)=CalendarYear,MONTH(JunSun1+28)=6),JunSun1+28,""))</f>
        <v>44373</v>
      </c>
      <c r="Q26" s="5"/>
      <c r="R26" s="5"/>
    </row>
    <row r="27" spans="1:18" ht="14.1" customHeight="1">
      <c r="A27" s="1"/>
      <c r="B27" s="14">
        <f>IF(DAY(MaySun1)=1,IF(AND(YEAR(MaySun1+22)=CalendarYear,MONTH(MaySun1+22)=5),MaySun1+22,""),IF(AND(YEAR(MaySun1+29)=CalendarYear,MONTH(MaySun1+29)=5),MaySun1+29,""))</f>
        <v>44339</v>
      </c>
      <c r="C27" s="15">
        <f>IF(DAY(MaySun1)=1,IF(AND(YEAR(MaySun1+23)=CalendarYear,MONTH(MaySun1+23)=5),MaySun1+23,""),IF(AND(YEAR(MaySun1+30)=CalendarYear,MONTH(MaySun1+30)=5),MaySun1+30,""))</f>
        <v>44340</v>
      </c>
      <c r="D27" s="16">
        <f>IF(DAY(MaySun1)=1,IF(AND(YEAR(MaySun1+24)=CalendarYear,MONTH(MaySun1+24)=5),MaySun1+24,""),IF(AND(YEAR(MaySun1+31)=CalendarYear,MONTH(MaySun1+31)=5),MaySun1+31,""))</f>
        <v>44341</v>
      </c>
      <c r="E27" s="16">
        <f>IF(DAY(MaySun1)=1,IF(AND(YEAR(MaySun1+25)=CalendarYear,MONTH(MaySun1+25)=5),MaySun1+25,""),IF(AND(YEAR(MaySun1+32)=CalendarYear,MONTH(MaySun1+32)=5),MaySun1+32,""))</f>
        <v>44342</v>
      </c>
      <c r="F27" s="16">
        <f>IF(DAY(MaySun1)=1,IF(AND(YEAR(MaySun1+26)=CalendarYear,MONTH(MaySun1+26)=5),MaySun1+26,""),IF(AND(YEAR(MaySun1+33)=CalendarYear,MONTH(MaySun1+33)=5),MaySun1+33,""))</f>
        <v>44343</v>
      </c>
      <c r="G27" s="16">
        <f>IF(DAY(MaySun1)=1,IF(AND(YEAR(MaySun1+27)=CalendarYear,MONTH(MaySun1+27)=5),MaySun1+27,""),IF(AND(YEAR(MaySun1+34)=CalendarYear,MONTH(MaySun1+34)=5),MaySun1+34,""))</f>
        <v>44344</v>
      </c>
      <c r="H27" s="16">
        <f>IF(DAY(MaySun1)=1,IF(AND(YEAR(MaySun1+28)=CalendarYear,MONTH(MaySun1+28)=5),MaySun1+28,""),IF(AND(YEAR(MaySun1+35)=CalendarYear,MONTH(MaySun1+35)=5),MaySun1+35,""))</f>
        <v>44345</v>
      </c>
      <c r="I27" s="4"/>
      <c r="J27" s="14">
        <f>IF(DAY(JunSun1)=1,IF(AND(YEAR(JunSun1+22)=CalendarYear,MONTH(JunSun1+22)=6),JunSun1+22,""),IF(AND(YEAR(JunSun1+29)=CalendarYear,MONTH(JunSun1+29)=6),JunSun1+29,""))</f>
        <v>44374</v>
      </c>
      <c r="K27" s="15">
        <f>IF(DAY(JunSun1)=1,IF(AND(YEAR(JunSun1+23)=CalendarYear,MONTH(JunSun1+23)=6),JunSun1+23,""),IF(AND(YEAR(JunSun1+30)=CalendarYear,MONTH(JunSun1+30)=6),JunSun1+30,""))</f>
        <v>44375</v>
      </c>
      <c r="L27" s="15">
        <f>IF(DAY(JunSun1)=1,IF(AND(YEAR(JunSun1+24)=CalendarYear,MONTH(JunSun1+24)=6),JunSun1+24,""),IF(AND(YEAR(JunSun1+31)=CalendarYear,MONTH(JunSun1+31)=6),JunSun1+31,""))</f>
        <v>44376</v>
      </c>
      <c r="M27" s="15">
        <f>IF(DAY(JunSun1)=1,IF(AND(YEAR(JunSun1+25)=CalendarYear,MONTH(JunSun1+25)=6),JunSun1+25,""),IF(AND(YEAR(JunSun1+32)=CalendarYear,MONTH(JunSun1+32)=6),JunSun1+32,""))</f>
        <v>44377</v>
      </c>
      <c r="N27" s="15" t="str">
        <f>IF(DAY(JunSun1)=1,IF(AND(YEAR(JunSun1+26)=CalendarYear,MONTH(JunSun1+26)=6),JunSun1+26,""),IF(AND(YEAR(JunSun1+33)=CalendarYear,MONTH(JunSun1+33)=6),JunSun1+33,""))</f>
        <v/>
      </c>
      <c r="O27" s="15" t="str">
        <f>IF(DAY(JunSun1)=1,IF(AND(YEAR(JunSun1+27)=CalendarYear,MONTH(JunSun1+27)=6),JunSun1+27,""),IF(AND(YEAR(JunSun1+34)=CalendarYear,MONTH(JunSun1+34)=6),JunSun1+34,""))</f>
        <v/>
      </c>
      <c r="P27" s="14" t="str">
        <f>IF(DAY(JunSun1)=1,IF(AND(YEAR(JunSun1+28)=CalendarYear,MONTH(JunSun1+28)=6),JunSun1+28,""),IF(AND(YEAR(JunSun1+35)=CalendarYear,MONTH(JunSun1+35)=6),JunSun1+35,""))</f>
        <v/>
      </c>
      <c r="Q27" s="5"/>
      <c r="R27" s="5"/>
    </row>
    <row r="28" spans="1:18" ht="14.1" customHeight="1">
      <c r="A28" s="1"/>
      <c r="B28" s="14">
        <f>IF(DAY(MaySun1)=1,IF(AND(YEAR(MaySun1+29)=CalendarYear,MONTH(MaySun1+29)=5),MaySun1+29,""),IF(AND(YEAR(MaySun1+36)=CalendarYear,MONTH(MaySun1+36)=5),MaySun1+36,""))</f>
        <v>44346</v>
      </c>
      <c r="C28" s="15">
        <f>IF(DAY(MaySun1)=1,IF(AND(YEAR(MaySun1+30)=CalendarYear,MONTH(MaySun1+30)=5),MaySun1+30,""),IF(AND(YEAR(MaySun1+37)=CalendarYear,MONTH(MaySun1+37)=5),MaySun1+37,""))</f>
        <v>44347</v>
      </c>
      <c r="D28" s="16" t="str">
        <f>IF(DAY(MaySun1)=1,IF(AND(YEAR(MaySun1+31)=CalendarYear,MONTH(MaySun1+31)=5),MaySun1+31,""),IF(AND(YEAR(MaySun1+38)=CalendarYear,MONTH(MaySun1+38)=5),MaySun1+38,""))</f>
        <v/>
      </c>
      <c r="E28" s="16" t="str">
        <f>IF(DAY(MaySun1)=1,IF(AND(YEAR(MaySun1+32)=CalendarYear,MONTH(MaySun1+32)=5),MaySun1+32,""),IF(AND(YEAR(MaySun1+39)=CalendarYear,MONTH(MaySun1+39)=5),MaySun1+39,""))</f>
        <v/>
      </c>
      <c r="F28" s="16" t="str">
        <f>IF(DAY(MaySun1)=1,IF(AND(YEAR(MaySun1+33)=CalendarYear,MONTH(MaySun1+33)=5),MaySun1+33,""),IF(AND(YEAR(MaySun1+40)=CalendarYear,MONTH(MaySun1+40)=5),MaySun1+40,""))</f>
        <v/>
      </c>
      <c r="G28" s="16" t="str">
        <f>IF(DAY(MaySun1)=1,IF(AND(YEAR(MaySun1+34)=CalendarYear,MONTH(MaySun1+34)=5),MaySun1+34,""),IF(AND(YEAR(MaySun1+41)=CalendarYear,MONTH(MaySun1+41)=5),MaySun1+41,""))</f>
        <v/>
      </c>
      <c r="H28" s="16" t="str">
        <f>IF(DAY(MaySun1)=1,IF(AND(YEAR(MaySun1+35)=CalendarYear,MONTH(MaySun1+35)=5),MaySun1+35,""),IF(AND(YEAR(MaySun1+42)=CalendarYear,MONTH(MaySun1+42)=5),MaySun1+42,""))</f>
        <v/>
      </c>
      <c r="I28" s="4"/>
      <c r="J28" s="14" t="str">
        <f>IF(DAY(JunSun1)=1,IF(AND(YEAR(JunSun1+29)=CalendarYear,MONTH(JunSun1+29)=6),JunSun1+29,""),IF(AND(YEAR(JunSun1+36)=CalendarYear,MONTH(JunSun1+36)=6),JunSun1+36,""))</f>
        <v/>
      </c>
      <c r="K28" s="15" t="str">
        <f>IF(DAY(JunSun1)=1,IF(AND(YEAR(JunSun1+30)=CalendarYear,MONTH(JunSun1+30)=6),JunSun1+30,""),IF(AND(YEAR(JunSun1+37)=CalendarYear,MONTH(JunSun1+37)=6),JunSun1+37,""))</f>
        <v/>
      </c>
      <c r="L28" s="15" t="str">
        <f>IF(DAY(JunSun1)=1,IF(AND(YEAR(JunSun1+31)=CalendarYear,MONTH(JunSun1+31)=6),JunSun1+31,""),IF(AND(YEAR(JunSun1+38)=CalendarYear,MONTH(JunSun1+38)=6),JunSun1+38,""))</f>
        <v/>
      </c>
      <c r="M28" s="15" t="str">
        <f>IF(DAY(JunSun1)=1,IF(AND(YEAR(JunSun1+32)=CalendarYear,MONTH(JunSun1+32)=6),JunSun1+32,""),IF(AND(YEAR(JunSun1+39)=CalendarYear,MONTH(JunSun1+39)=6),JunSun1+39,""))</f>
        <v/>
      </c>
      <c r="N28" s="15" t="str">
        <f>IF(DAY(JunSun1)=1,IF(AND(YEAR(JunSun1+33)=CalendarYear,MONTH(JunSun1+33)=6),JunSun1+33,""),IF(AND(YEAR(JunSun1+40)=CalendarYear,MONTH(JunSun1+40)=6),JunSun1+40,""))</f>
        <v/>
      </c>
      <c r="O28" s="15" t="str">
        <f>IF(DAY(JunSun1)=1,IF(AND(YEAR(JunSun1+34)=CalendarYear,MONTH(JunSun1+34)=6),JunSun1+34,""),IF(AND(YEAR(JunSun1+41)=CalendarYear,MONTH(JunSun1+41)=6),JunSun1+41,""))</f>
        <v/>
      </c>
      <c r="P28" s="14" t="str">
        <f>IF(DAY(JunSun1)=1,IF(AND(YEAR(JunSun1+35)=CalendarYear,MONTH(JunSun1+35)=6),JunSun1+35,""),IF(AND(YEAR(JunSun1+42)=CalendarYear,MONTH(JunSun1+42)=6),JunSun1+42,""))</f>
        <v/>
      </c>
      <c r="Q28" s="5"/>
      <c r="R28" s="5"/>
    </row>
    <row r="29" spans="1:18" ht="14.1" customHeight="1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</row>
    <row r="30" spans="1:18" ht="14.1" customHeight="1">
      <c r="A30" s="1"/>
      <c r="B30" s="31" t="s">
        <v>8</v>
      </c>
      <c r="C30" s="31"/>
      <c r="D30" s="31"/>
      <c r="E30" s="31"/>
      <c r="F30" s="31"/>
      <c r="G30" s="31"/>
      <c r="H30" s="31"/>
      <c r="I30" s="4"/>
      <c r="J30" s="31" t="s">
        <v>9</v>
      </c>
      <c r="K30" s="31"/>
      <c r="L30" s="31"/>
      <c r="M30" s="31"/>
      <c r="N30" s="31"/>
      <c r="O30" s="31"/>
      <c r="P30" s="31"/>
      <c r="Q30" s="5"/>
      <c r="R30" s="5"/>
    </row>
    <row r="31" spans="1:18" ht="14.1" customHeight="1">
      <c r="A31" s="1"/>
      <c r="B31" s="6" t="s">
        <v>0</v>
      </c>
      <c r="C31" s="6" t="s">
        <v>1</v>
      </c>
      <c r="D31" s="6" t="s">
        <v>2</v>
      </c>
      <c r="E31" s="6" t="s">
        <v>3</v>
      </c>
      <c r="F31" s="6" t="s">
        <v>2</v>
      </c>
      <c r="G31" s="6" t="s">
        <v>4</v>
      </c>
      <c r="H31" s="6" t="s">
        <v>0</v>
      </c>
      <c r="I31" s="4"/>
      <c r="J31" s="6" t="s">
        <v>0</v>
      </c>
      <c r="K31" s="6" t="s">
        <v>1</v>
      </c>
      <c r="L31" s="6" t="s">
        <v>2</v>
      </c>
      <c r="M31" s="6" t="s">
        <v>3</v>
      </c>
      <c r="N31" s="6" t="s">
        <v>2</v>
      </c>
      <c r="O31" s="6" t="s">
        <v>4</v>
      </c>
      <c r="P31" s="6" t="s">
        <v>0</v>
      </c>
      <c r="Q31" s="5"/>
      <c r="R31" s="5"/>
    </row>
    <row r="32" spans="1:18" ht="14.1" customHeight="1">
      <c r="A32" s="1"/>
      <c r="B32" s="14" t="str">
        <f>IF(DAY(JulSun1)=1,"",IF(AND(YEAR(JulSun1+1)=CalendarYear,MONTH(JulSun1+1)=7),JulSun1+1,""))</f>
        <v/>
      </c>
      <c r="C32" s="15" t="str">
        <f>IF(DAY(JulSun1)=1,"",IF(AND(YEAR(JulSun1+2)=CalendarYear,MONTH(JulSun1+2)=7),JulSun1+2,""))</f>
        <v/>
      </c>
      <c r="D32" s="15" t="str">
        <f>IF(DAY(JulSun1)=1,"",IF(AND(YEAR(JulSun1+3)=CalendarYear,MONTH(JulSun1+3)=7),JulSun1+3,""))</f>
        <v/>
      </c>
      <c r="E32" s="15" t="str">
        <f>IF(DAY(JulSun1)=1,"",IF(AND(YEAR(JulSun1+4)=CalendarYear,MONTH(JulSun1+4)=7),JulSun1+4,""))</f>
        <v/>
      </c>
      <c r="F32" s="15">
        <f>IF(DAY(JulSun1)=1,"",IF(AND(YEAR(JulSun1+5)=CalendarYear,MONTH(JulSun1+5)=7),JulSun1+5,""))</f>
        <v>44378</v>
      </c>
      <c r="G32" s="15">
        <f>IF(DAY(JulSun1)=1,"",IF(AND(YEAR(JulSun1+6)=CalendarYear,MONTH(JulSun1+6)=7),JulSun1+6,""))</f>
        <v>44379</v>
      </c>
      <c r="H32" s="14">
        <f>IF(DAY(JulSun1)=1,IF(AND(YEAR(JulSun1)=CalendarYear,MONTH(JulSun1)=7),JulSun1,""),IF(AND(YEAR(JulSun1+7)=CalendarYear,MONTH(JulSun1+7)=7),JulSun1+7,""))</f>
        <v>44380</v>
      </c>
      <c r="I32" s="4"/>
      <c r="J32" s="14">
        <f>IF(DAY(AugSun1)=1,"",IF(AND(YEAR(AugSun1+1)=CalendarYear,MONTH(AugSun1+1)=8),AugSun1+1,""))</f>
        <v>44409</v>
      </c>
      <c r="K32" s="15">
        <f>IF(DAY(AugSun1)=1,"",IF(AND(YEAR(AugSun1+2)=CalendarYear,MONTH(AugSun1+2)=8),AugSun1+2,""))</f>
        <v>44410</v>
      </c>
      <c r="L32" s="15">
        <f>IF(DAY(AugSun1)=1,"",IF(AND(YEAR(AugSun1+3)=CalendarYear,MONTH(AugSun1+3)=8),AugSun1+3,""))</f>
        <v>44411</v>
      </c>
      <c r="M32" s="15">
        <f>IF(DAY(AugSun1)=1,"",IF(AND(YEAR(AugSun1+4)=CalendarYear,MONTH(AugSun1+4)=8),AugSun1+4,""))</f>
        <v>44412</v>
      </c>
      <c r="N32" s="15">
        <f>IF(DAY(AugSun1)=1,"",IF(AND(YEAR(AugSun1+5)=CalendarYear,MONTH(AugSun1+5)=8),AugSun1+5,""))</f>
        <v>44413</v>
      </c>
      <c r="O32" s="15">
        <f>IF(DAY(AugSun1)=1,"",IF(AND(YEAR(AugSun1+6)=CalendarYear,MONTH(AugSun1+6)=8),AugSun1+6,""))</f>
        <v>44414</v>
      </c>
      <c r="P32" s="14">
        <f>IF(DAY(AugSun1)=1,IF(AND(YEAR(AugSun1)=CalendarYear,MONTH(AugSun1)=8),AugSun1,""),IF(AND(YEAR(AugSun1+7)=CalendarYear,MONTH(AugSun1+7)=8),AugSun1+7,""))</f>
        <v>44415</v>
      </c>
      <c r="Q32" s="5"/>
      <c r="R32" s="5"/>
    </row>
    <row r="33" spans="1:18" ht="14.1" customHeight="1">
      <c r="A33" s="1"/>
      <c r="B33" s="14">
        <f>IF(DAY(JulSun1)=1,IF(AND(YEAR(JulSun1+1)=CalendarYear,MONTH(JulSun1+1)=7),JulSun1+1,""),IF(AND(YEAR(JulSun1+8)=CalendarYear,MONTH(JulSun1+8)=7),JulSun1+8,""))</f>
        <v>44381</v>
      </c>
      <c r="C33" s="15">
        <f>IF(DAY(JulSun1)=1,IF(AND(YEAR(JulSun1+2)=CalendarYear,MONTH(JulSun1+2)=7),JulSun1+2,""),IF(AND(YEAR(JulSun1+9)=CalendarYear,MONTH(JulSun1+9)=7),JulSun1+9,""))</f>
        <v>44382</v>
      </c>
      <c r="D33" s="15">
        <f>IF(DAY(JulSun1)=1,IF(AND(YEAR(JulSun1+3)=CalendarYear,MONTH(JulSun1+3)=7),JulSun1+3,""),IF(AND(YEAR(JulSun1+10)=CalendarYear,MONTH(JulSun1+10)=7),JulSun1+10,""))</f>
        <v>44383</v>
      </c>
      <c r="E33" s="15">
        <f>IF(DAY(JulSun1)=1,IF(AND(YEAR(JulSun1+4)=CalendarYear,MONTH(JulSun1+4)=7),JulSun1+4,""),IF(AND(YEAR(JulSun1+11)=CalendarYear,MONTH(JulSun1+11)=7),JulSun1+11,""))</f>
        <v>44384</v>
      </c>
      <c r="F33" s="15">
        <f>IF(DAY(JulSun1)=1,IF(AND(YEAR(JulSun1+5)=CalendarYear,MONTH(JulSun1+5)=7),JulSun1+5,""),IF(AND(YEAR(JulSun1+12)=CalendarYear,MONTH(JulSun1+12)=7),JulSun1+12,""))</f>
        <v>44385</v>
      </c>
      <c r="G33" s="15">
        <f>IF(DAY(JulSun1)=1,IF(AND(YEAR(JulSun1+6)=CalendarYear,MONTH(JulSun1+6)=7),JulSun1+6,""),IF(AND(YEAR(JulSun1+13)=CalendarYear,MONTH(JulSun1+13)=7),JulSun1+13,""))</f>
        <v>44386</v>
      </c>
      <c r="H33" s="14">
        <f>IF(DAY(JulSun1)=1,IF(AND(YEAR(JulSun1+7)=CalendarYear,MONTH(JulSun1+7)=7),JulSun1+7,""),IF(AND(YEAR(JulSun1+14)=CalendarYear,MONTH(JulSun1+14)=7),JulSun1+14,""))</f>
        <v>44387</v>
      </c>
      <c r="I33" s="4"/>
      <c r="J33" s="14">
        <f>IF(DAY(AugSun1)=1,IF(AND(YEAR(AugSun1+1)=CalendarYear,MONTH(AugSun1+1)=8),AugSun1+1,""),IF(AND(YEAR(AugSun1+8)=CalendarYear,MONTH(AugSun1+8)=8),AugSun1+8,""))</f>
        <v>44416</v>
      </c>
      <c r="K33" s="15">
        <f>IF(DAY(AugSun1)=1,IF(AND(YEAR(AugSun1+2)=CalendarYear,MONTH(AugSun1+2)=8),AugSun1+2,""),IF(AND(YEAR(AugSun1+9)=CalendarYear,MONTH(AugSun1+9)=8),AugSun1+9,""))</f>
        <v>44417</v>
      </c>
      <c r="L33" s="15">
        <f>IF(DAY(AugSun1)=1,IF(AND(YEAR(AugSun1+3)=CalendarYear,MONTH(AugSun1+3)=8),AugSun1+3,""),IF(AND(YEAR(AugSun1+10)=CalendarYear,MONTH(AugSun1+10)=8),AugSun1+10,""))</f>
        <v>44418</v>
      </c>
      <c r="M33" s="15">
        <f>IF(DAY(AugSun1)=1,IF(AND(YEAR(AugSun1+4)=CalendarYear,MONTH(AugSun1+4)=8),AugSun1+4,""),IF(AND(YEAR(AugSun1+11)=CalendarYear,MONTH(AugSun1+11)=8),AugSun1+11,""))</f>
        <v>44419</v>
      </c>
      <c r="N33" s="15">
        <f>IF(DAY(AugSun1)=1,IF(AND(YEAR(AugSun1+5)=CalendarYear,MONTH(AugSun1+5)=8),AugSun1+5,""),IF(AND(YEAR(AugSun1+12)=CalendarYear,MONTH(AugSun1+12)=8),AugSun1+12,""))</f>
        <v>44420</v>
      </c>
      <c r="O33" s="15">
        <f>IF(DAY(AugSun1)=1,IF(AND(YEAR(AugSun1+6)=CalendarYear,MONTH(AugSun1+6)=8),AugSun1+6,""),IF(AND(YEAR(AugSun1+13)=CalendarYear,MONTH(AugSun1+13)=8),AugSun1+13,""))</f>
        <v>44421</v>
      </c>
      <c r="P33" s="14">
        <f>IF(DAY(AugSun1)=1,IF(AND(YEAR(AugSun1+7)=CalendarYear,MONTH(AugSun1+7)=8),AugSun1+7,""),IF(AND(YEAR(AugSun1+14)=CalendarYear,MONTH(AugSun1+14)=8),AugSun1+14,""))</f>
        <v>44422</v>
      </c>
      <c r="Q33" s="5"/>
      <c r="R33" s="5"/>
    </row>
    <row r="34" spans="1:18" ht="14.1" customHeight="1">
      <c r="A34" s="1"/>
      <c r="B34" s="14">
        <f>IF(DAY(JulSun1)=1,IF(AND(YEAR(JulSun1+8)=CalendarYear,MONTH(JulSun1+8)=7),JulSun1+8,""),IF(AND(YEAR(JulSun1+15)=CalendarYear,MONTH(JulSun1+15)=7),JulSun1+15,""))</f>
        <v>44388</v>
      </c>
      <c r="C34" s="15">
        <f>IF(DAY(JulSun1)=1,IF(AND(YEAR(JulSun1+9)=CalendarYear,MONTH(JulSun1+9)=7),JulSun1+9,""),IF(AND(YEAR(JulSun1+16)=CalendarYear,MONTH(JulSun1+16)=7),JulSun1+16,""))</f>
        <v>44389</v>
      </c>
      <c r="D34" s="15">
        <f>IF(DAY(JulSun1)=1,IF(AND(YEAR(JulSun1+10)=CalendarYear,MONTH(JulSun1+10)=7),JulSun1+10,""),IF(AND(YEAR(JulSun1+17)=CalendarYear,MONTH(JulSun1+17)=7),JulSun1+17,""))</f>
        <v>44390</v>
      </c>
      <c r="E34" s="15">
        <f>IF(DAY(JulSun1)=1,IF(AND(YEAR(JulSun1+11)=CalendarYear,MONTH(JulSun1+11)=7),JulSun1+11,""),IF(AND(YEAR(JulSun1+18)=CalendarYear,MONTH(JulSun1+18)=7),JulSun1+18,""))</f>
        <v>44391</v>
      </c>
      <c r="F34" s="15">
        <f>IF(DAY(JulSun1)=1,IF(AND(YEAR(JulSun1+12)=CalendarYear,MONTH(JulSun1+12)=7),JulSun1+12,""),IF(AND(YEAR(JulSun1+19)=CalendarYear,MONTH(JulSun1+19)=7),JulSun1+19,""))</f>
        <v>44392</v>
      </c>
      <c r="G34" s="15">
        <f>IF(DAY(JulSun1)=1,IF(AND(YEAR(JulSun1+13)=CalendarYear,MONTH(JulSun1+13)=7),JulSun1+13,""),IF(AND(YEAR(JulSun1+20)=CalendarYear,MONTH(JulSun1+20)=7),JulSun1+20,""))</f>
        <v>44393</v>
      </c>
      <c r="H34" s="14">
        <f>IF(DAY(JulSun1)=1,IF(AND(YEAR(JulSun1+14)=CalendarYear,MONTH(JulSun1+14)=7),JulSun1+14,""),IF(AND(YEAR(JulSun1+21)=CalendarYear,MONTH(JulSun1+21)=7),JulSun1+21,""))</f>
        <v>44394</v>
      </c>
      <c r="I34" s="4"/>
      <c r="J34" s="14">
        <f>IF(DAY(AugSun1)=1,IF(AND(YEAR(AugSun1+8)=CalendarYear,MONTH(AugSun1+8)=8),AugSun1+8,""),IF(AND(YEAR(AugSun1+15)=CalendarYear,MONTH(AugSun1+15)=8),AugSun1+15,""))</f>
        <v>44423</v>
      </c>
      <c r="K34" s="15">
        <f>IF(DAY(AugSun1)=1,IF(AND(YEAR(AugSun1+9)=CalendarYear,MONTH(AugSun1+9)=8),AugSun1+9,""),IF(AND(YEAR(AugSun1+16)=CalendarYear,MONTH(AugSun1+16)=8),AugSun1+16,""))</f>
        <v>44424</v>
      </c>
      <c r="L34" s="15">
        <f>IF(DAY(AugSun1)=1,IF(AND(YEAR(AugSun1+10)=CalendarYear,MONTH(AugSun1+10)=8),AugSun1+10,""),IF(AND(YEAR(AugSun1+17)=CalendarYear,MONTH(AugSun1+17)=8),AugSun1+17,""))</f>
        <v>44425</v>
      </c>
      <c r="M34" s="15">
        <f>IF(DAY(AugSun1)=1,IF(AND(YEAR(AugSun1+11)=CalendarYear,MONTH(AugSun1+11)=8),AugSun1+11,""),IF(AND(YEAR(AugSun1+18)=CalendarYear,MONTH(AugSun1+18)=8),AugSun1+18,""))</f>
        <v>44426</v>
      </c>
      <c r="N34" s="15">
        <f>IF(DAY(AugSun1)=1,IF(AND(YEAR(AugSun1+12)=CalendarYear,MONTH(AugSun1+12)=8),AugSun1+12,""),IF(AND(YEAR(AugSun1+19)=CalendarYear,MONTH(AugSun1+19)=8),AugSun1+19,""))</f>
        <v>44427</v>
      </c>
      <c r="O34" s="15">
        <f>IF(DAY(AugSun1)=1,IF(AND(YEAR(AugSun1+13)=CalendarYear,MONTH(AugSun1+13)=8),AugSun1+13,""),IF(AND(YEAR(AugSun1+20)=CalendarYear,MONTH(AugSun1+20)=8),AugSun1+20,""))</f>
        <v>44428</v>
      </c>
      <c r="P34" s="14">
        <f>IF(DAY(AugSun1)=1,IF(AND(YEAR(AugSun1+14)=CalendarYear,MONTH(AugSun1+14)=8),AugSun1+14,""),IF(AND(YEAR(AugSun1+21)=CalendarYear,MONTH(AugSun1+21)=8),AugSun1+21,""))</f>
        <v>44429</v>
      </c>
      <c r="Q34" s="5"/>
      <c r="R34" s="5"/>
    </row>
    <row r="35" spans="1:18" ht="14.1" customHeight="1">
      <c r="A35" s="1"/>
      <c r="B35" s="14">
        <f>IF(DAY(JulSun1)=1,IF(AND(YEAR(JulSun1+15)=CalendarYear,MONTH(JulSun1+15)=7),JulSun1+15,""),IF(AND(YEAR(JulSun1+22)=CalendarYear,MONTH(JulSun1+22)=7),JulSun1+22,""))</f>
        <v>44395</v>
      </c>
      <c r="C35" s="15">
        <f>IF(DAY(JulSun1)=1,IF(AND(YEAR(JulSun1+16)=CalendarYear,MONTH(JulSun1+16)=7),JulSun1+16,""),IF(AND(YEAR(JulSun1+23)=CalendarYear,MONTH(JulSun1+23)=7),JulSun1+23,""))</f>
        <v>44396</v>
      </c>
      <c r="D35" s="15">
        <f>IF(DAY(JulSun1)=1,IF(AND(YEAR(JulSun1+17)=CalendarYear,MONTH(JulSun1+17)=7),JulSun1+17,""),IF(AND(YEAR(JulSun1+24)=CalendarYear,MONTH(JulSun1+24)=7),JulSun1+24,""))</f>
        <v>44397</v>
      </c>
      <c r="E35" s="15">
        <f>IF(DAY(JulSun1)=1,IF(AND(YEAR(JulSun1+18)=CalendarYear,MONTH(JulSun1+18)=7),JulSun1+18,""),IF(AND(YEAR(JulSun1+25)=CalendarYear,MONTH(JulSun1+25)=7),JulSun1+25,""))</f>
        <v>44398</v>
      </c>
      <c r="F35" s="15">
        <f>IF(DAY(JulSun1)=1,IF(AND(YEAR(JulSun1+19)=CalendarYear,MONTH(JulSun1+19)=7),JulSun1+19,""),IF(AND(YEAR(JulSun1+26)=CalendarYear,MONTH(JulSun1+26)=7),JulSun1+26,""))</f>
        <v>44399</v>
      </c>
      <c r="G35" s="15">
        <f>IF(DAY(JulSun1)=1,IF(AND(YEAR(JulSun1+20)=CalendarYear,MONTH(JulSun1+20)=7),JulSun1+20,""),IF(AND(YEAR(JulSun1+27)=CalendarYear,MONTH(JulSun1+27)=7),JulSun1+27,""))</f>
        <v>44400</v>
      </c>
      <c r="H35" s="14">
        <f>IF(DAY(JulSun1)=1,IF(AND(YEAR(JulSun1+21)=CalendarYear,MONTH(JulSun1+21)=7),JulSun1+21,""),IF(AND(YEAR(JulSun1+28)=CalendarYear,MONTH(JulSun1+28)=7),JulSun1+28,""))</f>
        <v>44401</v>
      </c>
      <c r="I35" s="4"/>
      <c r="J35" s="14">
        <f>IF(DAY(AugSun1)=1,IF(AND(YEAR(AugSun1+15)=CalendarYear,MONTH(AugSun1+15)=8),AugSun1+15,""),IF(AND(YEAR(AugSun1+22)=CalendarYear,MONTH(AugSun1+22)=8),AugSun1+22,""))</f>
        <v>44430</v>
      </c>
      <c r="K35" s="15">
        <f>IF(DAY(AugSun1)=1,IF(AND(YEAR(AugSun1+16)=CalendarYear,MONTH(AugSun1+16)=8),AugSun1+16,""),IF(AND(YEAR(AugSun1+23)=CalendarYear,MONTH(AugSun1+23)=8),AugSun1+23,""))</f>
        <v>44431</v>
      </c>
      <c r="L35" s="15">
        <f>IF(DAY(AugSun1)=1,IF(AND(YEAR(AugSun1+17)=CalendarYear,MONTH(AugSun1+17)=8),AugSun1+17,""),IF(AND(YEAR(AugSun1+24)=CalendarYear,MONTH(AugSun1+24)=8),AugSun1+24,""))</f>
        <v>44432</v>
      </c>
      <c r="M35" s="15">
        <f>IF(DAY(AugSun1)=1,IF(AND(YEAR(AugSun1+18)=CalendarYear,MONTH(AugSun1+18)=8),AugSun1+18,""),IF(AND(YEAR(AugSun1+25)=CalendarYear,MONTH(AugSun1+25)=8),AugSun1+25,""))</f>
        <v>44433</v>
      </c>
      <c r="N35" s="15">
        <f>IF(DAY(AugSun1)=1,IF(AND(YEAR(AugSun1+19)=CalendarYear,MONTH(AugSun1+19)=8),AugSun1+19,""),IF(AND(YEAR(AugSun1+26)=CalendarYear,MONTH(AugSun1+26)=8),AugSun1+26,""))</f>
        <v>44434</v>
      </c>
      <c r="O35" s="15">
        <f>IF(DAY(AugSun1)=1,IF(AND(YEAR(AugSun1+20)=CalendarYear,MONTH(AugSun1+20)=8),AugSun1+20,""),IF(AND(YEAR(AugSun1+27)=CalendarYear,MONTH(AugSun1+27)=8),AugSun1+27,""))</f>
        <v>44435</v>
      </c>
      <c r="P35" s="14">
        <f>IF(DAY(AugSun1)=1,IF(AND(YEAR(AugSun1+21)=CalendarYear,MONTH(AugSun1+21)=8),AugSun1+21,""),IF(AND(YEAR(AugSun1+28)=CalendarYear,MONTH(AugSun1+28)=8),AugSun1+28,""))</f>
        <v>44436</v>
      </c>
      <c r="Q35" s="5"/>
      <c r="R35" s="5"/>
    </row>
    <row r="36" spans="1:18" ht="14.1" customHeight="1">
      <c r="A36" s="1"/>
      <c r="B36" s="14">
        <f>IF(DAY(JulSun1)=1,IF(AND(YEAR(JulSun1+22)=CalendarYear,MONTH(JulSun1+22)=7),JulSun1+22,""),IF(AND(YEAR(JulSun1+29)=CalendarYear,MONTH(JulSun1+29)=7),JulSun1+29,""))</f>
        <v>44402</v>
      </c>
      <c r="C36" s="15">
        <f>IF(DAY(JulSun1)=1,IF(AND(YEAR(JulSun1+23)=CalendarYear,MONTH(JulSun1+23)=7),JulSun1+23,""),IF(AND(YEAR(JulSun1+30)=CalendarYear,MONTH(JulSun1+30)=7),JulSun1+30,""))</f>
        <v>44403</v>
      </c>
      <c r="D36" s="15">
        <f>IF(DAY(JulSun1)=1,IF(AND(YEAR(JulSun1+24)=CalendarYear,MONTH(JulSun1+24)=7),JulSun1+24,""),IF(AND(YEAR(JulSun1+31)=CalendarYear,MONTH(JulSun1+31)=7),JulSun1+31,""))</f>
        <v>44404</v>
      </c>
      <c r="E36" s="15">
        <f>IF(DAY(JulSun1)=1,IF(AND(YEAR(JulSun1+25)=CalendarYear,MONTH(JulSun1+25)=7),JulSun1+25,""),IF(AND(YEAR(JulSun1+32)=CalendarYear,MONTH(JulSun1+32)=7),JulSun1+32,""))</f>
        <v>44405</v>
      </c>
      <c r="F36" s="15">
        <f>IF(DAY(JulSun1)=1,IF(AND(YEAR(JulSun1+26)=CalendarYear,MONTH(JulSun1+26)=7),JulSun1+26,""),IF(AND(YEAR(JulSun1+33)=CalendarYear,MONTH(JulSun1+33)=7),JulSun1+33,""))</f>
        <v>44406</v>
      </c>
      <c r="G36" s="15">
        <f>IF(DAY(JulSun1)=1,IF(AND(YEAR(JulSun1+27)=CalendarYear,MONTH(JulSun1+27)=7),JulSun1+27,""),IF(AND(YEAR(JulSun1+34)=CalendarYear,MONTH(JulSun1+34)=7),JulSun1+34,""))</f>
        <v>44407</v>
      </c>
      <c r="H36" s="14">
        <f>IF(DAY(JulSun1)=1,IF(AND(YEAR(JulSun1+28)=CalendarYear,MONTH(JulSun1+28)=7),JulSun1+28,""),IF(AND(YEAR(JulSun1+35)=CalendarYear,MONTH(JulSun1+35)=7),JulSun1+35,""))</f>
        <v>44408</v>
      </c>
      <c r="I36" s="4"/>
      <c r="J36" s="14">
        <f>IF(DAY(AugSun1)=1,IF(AND(YEAR(AugSun1+22)=CalendarYear,MONTH(AugSun1+22)=8),AugSun1+22,""),IF(AND(YEAR(AugSun1+29)=CalendarYear,MONTH(AugSun1+29)=8),AugSun1+29,""))</f>
        <v>44437</v>
      </c>
      <c r="K36" s="15">
        <f>IF(DAY(AugSun1)=1,IF(AND(YEAR(AugSun1+23)=CalendarYear,MONTH(AugSun1+23)=8),AugSun1+23,""),IF(AND(YEAR(AugSun1+30)=CalendarYear,MONTH(AugSun1+30)=8),AugSun1+30,""))</f>
        <v>44438</v>
      </c>
      <c r="L36" s="15">
        <f>IF(DAY(AugSun1)=1,IF(AND(YEAR(AugSun1+24)=CalendarYear,MONTH(AugSun1+24)=8),AugSun1+24,""),IF(AND(YEAR(AugSun1+31)=CalendarYear,MONTH(AugSun1+31)=8),AugSun1+31,""))</f>
        <v>44439</v>
      </c>
      <c r="M36" s="15" t="str">
        <f>IF(DAY(AugSun1)=1,IF(AND(YEAR(AugSun1+25)=CalendarYear,MONTH(AugSun1+25)=8),AugSun1+25,""),IF(AND(YEAR(AugSun1+32)=CalendarYear,MONTH(AugSun1+32)=8),AugSun1+32,""))</f>
        <v/>
      </c>
      <c r="N36" s="15" t="str">
        <f>IF(DAY(AugSun1)=1,IF(AND(YEAR(AugSun1+26)=CalendarYear,MONTH(AugSun1+26)=8),AugSun1+26,""),IF(AND(YEAR(AugSun1+33)=CalendarYear,MONTH(AugSun1+33)=8),AugSun1+33,""))</f>
        <v/>
      </c>
      <c r="O36" s="15" t="str">
        <f>IF(DAY(AugSun1)=1,IF(AND(YEAR(AugSun1+27)=CalendarYear,MONTH(AugSun1+27)=8),AugSun1+27,""),IF(AND(YEAR(AugSun1+34)=CalendarYear,MONTH(AugSun1+34)=8),AugSun1+34,""))</f>
        <v/>
      </c>
      <c r="P36" s="14" t="str">
        <f>IF(DAY(AugSun1)=1,IF(AND(YEAR(AugSun1+28)=CalendarYear,MONTH(AugSun1+28)=8),AugSun1+28,""),IF(AND(YEAR(AugSun1+35)=CalendarYear,MONTH(AugSun1+35)=8),AugSun1+35,""))</f>
        <v/>
      </c>
      <c r="Q36" s="5"/>
      <c r="R36" s="5"/>
    </row>
    <row r="37" spans="1:18" ht="14.1" customHeight="1">
      <c r="A37" s="1"/>
      <c r="B37" s="14" t="str">
        <f>IF(DAY(JulSun1)=1,IF(AND(YEAR(JulSun1+29)=CalendarYear,MONTH(JulSun1+29)=7),JulSun1+29,""),IF(AND(YEAR(JulSun1+36)=CalendarYear,MONTH(JulSun1+36)=7),JulSun1+36,""))</f>
        <v/>
      </c>
      <c r="C37" s="15" t="str">
        <f>IF(DAY(JulSun1)=1,IF(AND(YEAR(JulSun1+30)=CalendarYear,MONTH(JulSun1+30)=7),JulSun1+30,""),IF(AND(YEAR(JulSun1+37)=CalendarYear,MONTH(JulSun1+37)=7),JulSun1+37,""))</f>
        <v/>
      </c>
      <c r="D37" s="15" t="str">
        <f>IF(DAY(JulSun1)=1,IF(AND(YEAR(JulSun1+31)=CalendarYear,MONTH(JulSun1+31)=7),JulSun1+31,""),IF(AND(YEAR(JulSun1+38)=CalendarYear,MONTH(JulSun1+38)=7),JulSun1+38,""))</f>
        <v/>
      </c>
      <c r="E37" s="15" t="str">
        <f>IF(DAY(JulSun1)=1,IF(AND(YEAR(JulSun1+32)=CalendarYear,MONTH(JulSun1+32)=7),JulSun1+32,""),IF(AND(YEAR(JulSun1+39)=CalendarYear,MONTH(JulSun1+39)=7),JulSun1+39,""))</f>
        <v/>
      </c>
      <c r="F37" s="15" t="str">
        <f>IF(DAY(JulSun1)=1,IF(AND(YEAR(JulSun1+33)=CalendarYear,MONTH(JulSun1+33)=7),JulSun1+33,""),IF(AND(YEAR(JulSun1+40)=CalendarYear,MONTH(JulSun1+40)=7),JulSun1+40,""))</f>
        <v/>
      </c>
      <c r="G37" s="15" t="str">
        <f>IF(DAY(JulSun1)=1,IF(AND(YEAR(JulSun1+34)=CalendarYear,MONTH(JulSun1+34)=7),JulSun1+34,""),IF(AND(YEAR(JulSun1+41)=CalendarYear,MONTH(JulSun1+41)=7),JulSun1+41,""))</f>
        <v/>
      </c>
      <c r="H37" s="14" t="str">
        <f>IF(DAY(JulSun1)=1,IF(AND(YEAR(JulSun1+35)=CalendarYear,MONTH(JulSun1+35)=7),JulSun1+35,""),IF(AND(YEAR(JulSun1+42)=CalendarYear,MONTH(JulSun1+42)=7),JulSun1+42,""))</f>
        <v/>
      </c>
      <c r="I37" s="4"/>
      <c r="J37" s="14" t="str">
        <f>IF(DAY(AugSun1)=1,IF(AND(YEAR(AugSun1+29)=CalendarYear,MONTH(AugSun1+29)=8),AugSun1+29,""),IF(AND(YEAR(AugSun1+36)=CalendarYear,MONTH(AugSun1+36)=8),AugSun1+36,""))</f>
        <v/>
      </c>
      <c r="K37" s="15" t="str">
        <f>IF(DAY(AugSun1)=1,IF(AND(YEAR(AugSun1+30)=CalendarYear,MONTH(AugSun1+30)=8),AugSun1+30,""),IF(AND(YEAR(AugSun1+37)=CalendarYear,MONTH(AugSun1+37)=8),AugSun1+37,""))</f>
        <v/>
      </c>
      <c r="L37" s="15" t="str">
        <f>IF(DAY(AugSun1)=1,IF(AND(YEAR(AugSun1+31)=CalendarYear,MONTH(AugSun1+31)=8),AugSun1+31,""),IF(AND(YEAR(AugSun1+38)=CalendarYear,MONTH(AugSun1+38)=8),AugSun1+38,""))</f>
        <v/>
      </c>
      <c r="M37" s="15" t="str">
        <f>IF(DAY(AugSun1)=1,IF(AND(YEAR(AugSun1+32)=CalendarYear,MONTH(AugSun1+32)=8),AugSun1+32,""),IF(AND(YEAR(AugSun1+39)=CalendarYear,MONTH(AugSun1+39)=8),AugSun1+39,""))</f>
        <v/>
      </c>
      <c r="N37" s="15" t="str">
        <f>IF(DAY(AugSun1)=1,IF(AND(YEAR(AugSun1+33)=CalendarYear,MONTH(AugSun1+33)=8),AugSun1+33,""),IF(AND(YEAR(AugSun1+40)=CalendarYear,MONTH(AugSun1+40)=8),AugSun1+40,""))</f>
        <v/>
      </c>
      <c r="O37" s="15" t="str">
        <f>IF(DAY(AugSun1)=1,IF(AND(YEAR(AugSun1+34)=CalendarYear,MONTH(AugSun1+34)=8),AugSun1+34,""),IF(AND(YEAR(AugSun1+41)=CalendarYear,MONTH(AugSun1+41)=8),AugSun1+41,""))</f>
        <v/>
      </c>
      <c r="P37" s="14" t="str">
        <f>IF(DAY(AugSun1)=1,IF(AND(YEAR(AugSun1+35)=CalendarYear,MONTH(AugSun1+35)=8),AugSun1+35,""),IF(AND(YEAR(AugSun1+42)=CalendarYear,MONTH(AugSun1+42)=8),AugSun1+42,""))</f>
        <v/>
      </c>
      <c r="Q37" s="5"/>
      <c r="R37" s="5"/>
    </row>
    <row r="38" spans="1:18" ht="14.1" customHeight="1">
      <c r="A38" s="1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</row>
    <row r="39" spans="1:18" ht="14.1" customHeight="1">
      <c r="A39" s="1"/>
      <c r="B39" s="31" t="s">
        <v>11</v>
      </c>
      <c r="C39" s="31"/>
      <c r="D39" s="31"/>
      <c r="E39" s="31"/>
      <c r="F39" s="31"/>
      <c r="G39" s="31"/>
      <c r="H39" s="31"/>
      <c r="I39" s="4"/>
      <c r="J39" s="31" t="s">
        <v>10</v>
      </c>
      <c r="K39" s="31"/>
      <c r="L39" s="31"/>
      <c r="M39" s="31"/>
      <c r="N39" s="31"/>
      <c r="O39" s="31"/>
      <c r="P39" s="31"/>
      <c r="Q39" s="5"/>
      <c r="R39" s="5"/>
    </row>
    <row r="40" spans="1:18" ht="14.1" customHeight="1">
      <c r="A40" s="1"/>
      <c r="B40" s="6" t="s">
        <v>0</v>
      </c>
      <c r="C40" s="6" t="s">
        <v>1</v>
      </c>
      <c r="D40" s="6" t="s">
        <v>2</v>
      </c>
      <c r="E40" s="6" t="s">
        <v>3</v>
      </c>
      <c r="F40" s="6" t="s">
        <v>2</v>
      </c>
      <c r="G40" s="6" t="s">
        <v>4</v>
      </c>
      <c r="H40" s="6" t="s">
        <v>0</v>
      </c>
      <c r="I40" s="4"/>
      <c r="J40" s="6" t="s">
        <v>0</v>
      </c>
      <c r="K40" s="6" t="s">
        <v>1</v>
      </c>
      <c r="L40" s="6" t="s">
        <v>2</v>
      </c>
      <c r="M40" s="6" t="s">
        <v>3</v>
      </c>
      <c r="N40" s="6" t="s">
        <v>2</v>
      </c>
      <c r="O40" s="6" t="s">
        <v>4</v>
      </c>
      <c r="P40" s="6" t="s">
        <v>0</v>
      </c>
      <c r="Q40" s="5"/>
      <c r="R40" s="5"/>
    </row>
    <row r="41" spans="1:18" ht="14.1" customHeight="1">
      <c r="A41" s="1"/>
      <c r="B41" s="14" t="str">
        <f>IF(DAY(SepSun1)=1,"",IF(AND(YEAR(SepSun1+1)=CalendarYear,MONTH(SepSun1+1)=9),SepSun1+1,""))</f>
        <v/>
      </c>
      <c r="C41" s="15" t="str">
        <f>IF(DAY(SepSun1)=1,"",IF(AND(YEAR(SepSun1+2)=CalendarYear,MONTH(SepSun1+2)=9),SepSun1+2,""))</f>
        <v/>
      </c>
      <c r="D41" s="15" t="str">
        <f>IF(DAY(SepSun1)=1,"",IF(AND(YEAR(SepSun1+3)=CalendarYear,MONTH(SepSun1+3)=9),SepSun1+3,""))</f>
        <v/>
      </c>
      <c r="E41" s="15">
        <f>IF(DAY(SepSun1)=1,"",IF(AND(YEAR(SepSun1+4)=CalendarYear,MONTH(SepSun1+4)=9),SepSun1+4,""))</f>
        <v>44440</v>
      </c>
      <c r="F41" s="15">
        <f>IF(DAY(SepSun1)=1,"",IF(AND(YEAR(SepSun1+5)=CalendarYear,MONTH(SepSun1+5)=9),SepSun1+5,""))</f>
        <v>44441</v>
      </c>
      <c r="G41" s="15">
        <f>IF(DAY(SepSun1)=1,"",IF(AND(YEAR(SepSun1+6)=CalendarYear,MONTH(SepSun1+6)=9),SepSun1+6,""))</f>
        <v>44442</v>
      </c>
      <c r="H41" s="14">
        <f>IF(DAY(SepSun1)=1,IF(AND(YEAR(SepSun1)=CalendarYear,MONTH(SepSun1)=9),SepSun1,""),IF(AND(YEAR(SepSun1+7)=CalendarYear,MONTH(SepSun1+7)=9),SepSun1+7,""))</f>
        <v>44443</v>
      </c>
      <c r="I41" s="4"/>
      <c r="J41" s="14" t="str">
        <f>IF(DAY(OctSun1)=1,"",IF(AND(YEAR(OctSun1+1)=CalendarYear,MONTH(OctSun1+1)=10),OctSun1+1,""))</f>
        <v/>
      </c>
      <c r="K41" s="15" t="str">
        <f>IF(DAY(OctSun1)=1,"",IF(AND(YEAR(OctSun1+2)=CalendarYear,MONTH(OctSun1+2)=10),OctSun1+2,""))</f>
        <v/>
      </c>
      <c r="L41" s="15" t="str">
        <f>IF(DAY(OctSun1)=1,"",IF(AND(YEAR(OctSun1+3)=CalendarYear,MONTH(OctSun1+3)=10),OctSun1+3,""))</f>
        <v/>
      </c>
      <c r="M41" s="15" t="str">
        <f>IF(DAY(OctSun1)=1,"",IF(AND(YEAR(OctSun1+4)=CalendarYear,MONTH(OctSun1+4)=10),OctSun1+4,""))</f>
        <v/>
      </c>
      <c r="N41" s="15" t="str">
        <f>IF(DAY(OctSun1)=1,"",IF(AND(YEAR(OctSun1+5)=CalendarYear,MONTH(OctSun1+5)=10),OctSun1+5,""))</f>
        <v/>
      </c>
      <c r="O41" s="15">
        <f>IF(DAY(OctSun1)=1,"",IF(AND(YEAR(OctSun1+6)=CalendarYear,MONTH(OctSun1+6)=10),OctSun1+6,""))</f>
        <v>44470</v>
      </c>
      <c r="P41" s="14">
        <f>IF(DAY(OctSun1)=1,IF(AND(YEAR(OctSun1)=CalendarYear,MONTH(OctSun1)=10),OctSun1,""),IF(AND(YEAR(OctSun1+7)=CalendarYear,MONTH(OctSun1+7)=10),OctSun1+7,""))</f>
        <v>44471</v>
      </c>
      <c r="Q41" s="5"/>
      <c r="R41" s="5"/>
    </row>
    <row r="42" spans="1:18" ht="14.1" customHeight="1">
      <c r="A42" s="1"/>
      <c r="B42" s="14">
        <f>IF(DAY(SepSun1)=1,IF(AND(YEAR(SepSun1+1)=CalendarYear,MONTH(SepSun1+1)=9),SepSun1+1,""),IF(AND(YEAR(SepSun1+8)=CalendarYear,MONTH(SepSun1+8)=9),SepSun1+8,""))</f>
        <v>44444</v>
      </c>
      <c r="C42" s="15">
        <f>IF(DAY(SepSun1)=1,IF(AND(YEAR(SepSun1+2)=CalendarYear,MONTH(SepSun1+2)=9),SepSun1+2,""),IF(AND(YEAR(SepSun1+9)=CalendarYear,MONTH(SepSun1+9)=9),SepSun1+9,""))</f>
        <v>44445</v>
      </c>
      <c r="D42" s="15">
        <f>IF(DAY(SepSun1)=1,IF(AND(YEAR(SepSun1+3)=CalendarYear,MONTH(SepSun1+3)=9),SepSun1+3,""),IF(AND(YEAR(SepSun1+10)=CalendarYear,MONTH(SepSun1+10)=9),SepSun1+10,""))</f>
        <v>44446</v>
      </c>
      <c r="E42" s="15">
        <f>IF(DAY(SepSun1)=1,IF(AND(YEAR(SepSun1+4)=CalendarYear,MONTH(SepSun1+4)=9),SepSun1+4,""),IF(AND(YEAR(SepSun1+11)=CalendarYear,MONTH(SepSun1+11)=9),SepSun1+11,""))</f>
        <v>44447</v>
      </c>
      <c r="F42" s="15">
        <f>IF(DAY(SepSun1)=1,IF(AND(YEAR(SepSun1+5)=CalendarYear,MONTH(SepSun1+5)=9),SepSun1+5,""),IF(AND(YEAR(SepSun1+12)=CalendarYear,MONTH(SepSun1+12)=9),SepSun1+12,""))</f>
        <v>44448</v>
      </c>
      <c r="G42" s="15">
        <f>IF(DAY(SepSun1)=1,IF(AND(YEAR(SepSun1+6)=CalendarYear,MONTH(SepSun1+6)=9),SepSun1+6,""),IF(AND(YEAR(SepSun1+13)=CalendarYear,MONTH(SepSun1+13)=9),SepSun1+13,""))</f>
        <v>44449</v>
      </c>
      <c r="H42" s="14">
        <f>IF(DAY(SepSun1)=1,IF(AND(YEAR(SepSun1+7)=CalendarYear,MONTH(SepSun1+7)=9),SepSun1+7,""),IF(AND(YEAR(SepSun1+14)=CalendarYear,MONTH(SepSun1+14)=9),SepSun1+14,""))</f>
        <v>44450</v>
      </c>
      <c r="I42" s="4"/>
      <c r="J42" s="14">
        <f>IF(DAY(OctSun1)=1,IF(AND(YEAR(OctSun1+1)=CalendarYear,MONTH(OctSun1+1)=10),OctSun1+1,""),IF(AND(YEAR(OctSun1+8)=CalendarYear,MONTH(OctSun1+8)=10),OctSun1+8,""))</f>
        <v>44472</v>
      </c>
      <c r="K42" s="15">
        <f>IF(DAY(OctSun1)=1,IF(AND(YEAR(OctSun1+2)=CalendarYear,MONTH(OctSun1+2)=10),OctSun1+2,""),IF(AND(YEAR(OctSun1+9)=CalendarYear,MONTH(OctSun1+9)=10),OctSun1+9,""))</f>
        <v>44473</v>
      </c>
      <c r="L42" s="15">
        <f>IF(DAY(OctSun1)=1,IF(AND(YEAR(OctSun1+3)=CalendarYear,MONTH(OctSun1+3)=10),OctSun1+3,""),IF(AND(YEAR(OctSun1+10)=CalendarYear,MONTH(OctSun1+10)=10),OctSun1+10,""))</f>
        <v>44474</v>
      </c>
      <c r="M42" s="15">
        <f>IF(DAY(OctSun1)=1,IF(AND(YEAR(OctSun1+4)=CalendarYear,MONTH(OctSun1+4)=10),OctSun1+4,""),IF(AND(YEAR(OctSun1+11)=CalendarYear,MONTH(OctSun1+11)=10),OctSun1+11,""))</f>
        <v>44475</v>
      </c>
      <c r="N42" s="15">
        <f>IF(DAY(OctSun1)=1,IF(AND(YEAR(OctSun1+5)=CalendarYear,MONTH(OctSun1+5)=10),OctSun1+5,""),IF(AND(YEAR(OctSun1+12)=CalendarYear,MONTH(OctSun1+12)=10),OctSun1+12,""))</f>
        <v>44476</v>
      </c>
      <c r="O42" s="15">
        <f>IF(DAY(OctSun1)=1,IF(AND(YEAR(OctSun1+6)=CalendarYear,MONTH(OctSun1+6)=10),OctSun1+6,""),IF(AND(YEAR(OctSun1+13)=CalendarYear,MONTH(OctSun1+13)=10),OctSun1+13,""))</f>
        <v>44477</v>
      </c>
      <c r="P42" s="14">
        <f>IF(DAY(OctSun1)=1,IF(AND(YEAR(OctSun1+7)=CalendarYear,MONTH(OctSun1+7)=10),OctSun1+7,""),IF(AND(YEAR(OctSun1+14)=CalendarYear,MONTH(OctSun1+14)=10),OctSun1+14,""))</f>
        <v>44478</v>
      </c>
      <c r="Q42" s="5"/>
      <c r="R42" s="5"/>
    </row>
    <row r="43" spans="1:18" ht="14.1" customHeight="1">
      <c r="A43" s="1"/>
      <c r="B43" s="14">
        <f>IF(DAY(SepSun1)=1,IF(AND(YEAR(SepSun1+8)=CalendarYear,MONTH(SepSun1+8)=9),SepSun1+8,""),IF(AND(YEAR(SepSun1+15)=CalendarYear,MONTH(SepSun1+15)=9),SepSun1+15,""))</f>
        <v>44451</v>
      </c>
      <c r="C43" s="15">
        <f>IF(DAY(SepSun1)=1,IF(AND(YEAR(SepSun1+9)=CalendarYear,MONTH(SepSun1+9)=9),SepSun1+9,""),IF(AND(YEAR(SepSun1+16)=CalendarYear,MONTH(SepSun1+16)=9),SepSun1+16,""))</f>
        <v>44452</v>
      </c>
      <c r="D43" s="15">
        <f>IF(DAY(SepSun1)=1,IF(AND(YEAR(SepSun1+10)=CalendarYear,MONTH(SepSun1+10)=9),SepSun1+10,""),IF(AND(YEAR(SepSun1+17)=CalendarYear,MONTH(SepSun1+17)=9),SepSun1+17,""))</f>
        <v>44453</v>
      </c>
      <c r="E43" s="15">
        <f>IF(DAY(SepSun1)=1,IF(AND(YEAR(SepSun1+11)=CalendarYear,MONTH(SepSun1+11)=9),SepSun1+11,""),IF(AND(YEAR(SepSun1+18)=CalendarYear,MONTH(SepSun1+18)=9),SepSun1+18,""))</f>
        <v>44454</v>
      </c>
      <c r="F43" s="15">
        <f>IF(DAY(SepSun1)=1,IF(AND(YEAR(SepSun1+12)=CalendarYear,MONTH(SepSun1+12)=9),SepSun1+12,""),IF(AND(YEAR(SepSun1+19)=CalendarYear,MONTH(SepSun1+19)=9),SepSun1+19,""))</f>
        <v>44455</v>
      </c>
      <c r="G43" s="15">
        <f>IF(DAY(SepSun1)=1,IF(AND(YEAR(SepSun1+13)=CalendarYear,MONTH(SepSun1+13)=9),SepSun1+13,""),IF(AND(YEAR(SepSun1+20)=CalendarYear,MONTH(SepSun1+20)=9),SepSun1+20,""))</f>
        <v>44456</v>
      </c>
      <c r="H43" s="14">
        <f>IF(DAY(SepSun1)=1,IF(AND(YEAR(SepSun1+14)=CalendarYear,MONTH(SepSun1+14)=9),SepSun1+14,""),IF(AND(YEAR(SepSun1+21)=CalendarYear,MONTH(SepSun1+21)=9),SepSun1+21,""))</f>
        <v>44457</v>
      </c>
      <c r="I43" s="4"/>
      <c r="J43" s="14">
        <f>IF(DAY(OctSun1)=1,IF(AND(YEAR(OctSun1+8)=CalendarYear,MONTH(OctSun1+8)=10),OctSun1+8,""),IF(AND(YEAR(OctSun1+15)=CalendarYear,MONTH(OctSun1+15)=10),OctSun1+15,""))</f>
        <v>44479</v>
      </c>
      <c r="K43" s="15">
        <f>IF(DAY(OctSun1)=1,IF(AND(YEAR(OctSun1+9)=CalendarYear,MONTH(OctSun1+9)=10),OctSun1+9,""),IF(AND(YEAR(OctSun1+16)=CalendarYear,MONTH(OctSun1+16)=10),OctSun1+16,""))</f>
        <v>44480</v>
      </c>
      <c r="L43" s="15">
        <f>IF(DAY(OctSun1)=1,IF(AND(YEAR(OctSun1+10)=CalendarYear,MONTH(OctSun1+10)=10),OctSun1+10,""),IF(AND(YEAR(OctSun1+17)=CalendarYear,MONTH(OctSun1+17)=10),OctSun1+17,""))</f>
        <v>44481</v>
      </c>
      <c r="M43" s="15">
        <f>IF(DAY(OctSun1)=1,IF(AND(YEAR(OctSun1+11)=CalendarYear,MONTH(OctSun1+11)=10),OctSun1+11,""),IF(AND(YEAR(OctSun1+18)=CalendarYear,MONTH(OctSun1+18)=10),OctSun1+18,""))</f>
        <v>44482</v>
      </c>
      <c r="N43" s="15">
        <f>IF(DAY(OctSun1)=1,IF(AND(YEAR(OctSun1+12)=CalendarYear,MONTH(OctSun1+12)=10),OctSun1+12,""),IF(AND(YEAR(OctSun1+19)=CalendarYear,MONTH(OctSun1+19)=10),OctSun1+19,""))</f>
        <v>44483</v>
      </c>
      <c r="O43" s="15">
        <f>IF(DAY(OctSun1)=1,IF(AND(YEAR(OctSun1+13)=CalendarYear,MONTH(OctSun1+13)=10),OctSun1+13,""),IF(AND(YEAR(OctSun1+20)=CalendarYear,MONTH(OctSun1+20)=10),OctSun1+20,""))</f>
        <v>44484</v>
      </c>
      <c r="P43" s="14">
        <f>IF(DAY(OctSun1)=1,IF(AND(YEAR(OctSun1+14)=CalendarYear,MONTH(OctSun1+14)=10),OctSun1+14,""),IF(AND(YEAR(OctSun1+21)=CalendarYear,MONTH(OctSun1+21)=10),OctSun1+21,""))</f>
        <v>44485</v>
      </c>
      <c r="Q43" s="5"/>
      <c r="R43" s="5"/>
    </row>
    <row r="44" spans="1:18" ht="14.1" customHeight="1">
      <c r="A44" s="1"/>
      <c r="B44" s="14">
        <f>IF(DAY(SepSun1)=1,IF(AND(YEAR(SepSun1+15)=CalendarYear,MONTH(SepSun1+15)=9),SepSun1+15,""),IF(AND(YEAR(SepSun1+22)=CalendarYear,MONTH(SepSun1+22)=9),SepSun1+22,""))</f>
        <v>44458</v>
      </c>
      <c r="C44" s="15">
        <f>IF(DAY(SepSun1)=1,IF(AND(YEAR(SepSun1+16)=CalendarYear,MONTH(SepSun1+16)=9),SepSun1+16,""),IF(AND(YEAR(SepSun1+23)=CalendarYear,MONTH(SepSun1+23)=9),SepSun1+23,""))</f>
        <v>44459</v>
      </c>
      <c r="D44" s="15">
        <f>IF(DAY(SepSun1)=1,IF(AND(YEAR(SepSun1+17)=CalendarYear,MONTH(SepSun1+17)=9),SepSun1+17,""),IF(AND(YEAR(SepSun1+24)=CalendarYear,MONTH(SepSun1+24)=9),SepSun1+24,""))</f>
        <v>44460</v>
      </c>
      <c r="E44" s="15">
        <f>IF(DAY(SepSun1)=1,IF(AND(YEAR(SepSun1+18)=CalendarYear,MONTH(SepSun1+18)=9),SepSun1+18,""),IF(AND(YEAR(SepSun1+25)=CalendarYear,MONTH(SepSun1+25)=9),SepSun1+25,""))</f>
        <v>44461</v>
      </c>
      <c r="F44" s="15">
        <f>IF(DAY(SepSun1)=1,IF(AND(YEAR(SepSun1+19)=CalendarYear,MONTH(SepSun1+19)=9),SepSun1+19,""),IF(AND(YEAR(SepSun1+26)=CalendarYear,MONTH(SepSun1+26)=9),SepSun1+26,""))</f>
        <v>44462</v>
      </c>
      <c r="G44" s="15">
        <f>IF(DAY(SepSun1)=1,IF(AND(YEAR(SepSun1+20)=CalendarYear,MONTH(SepSun1+20)=9),SepSun1+20,""),IF(AND(YEAR(SepSun1+27)=CalendarYear,MONTH(SepSun1+27)=9),SepSun1+27,""))</f>
        <v>44463</v>
      </c>
      <c r="H44" s="14">
        <f>IF(DAY(SepSun1)=1,IF(AND(YEAR(SepSun1+21)=CalendarYear,MONTH(SepSun1+21)=9),SepSun1+21,""),IF(AND(YEAR(SepSun1+28)=CalendarYear,MONTH(SepSun1+28)=9),SepSun1+28,""))</f>
        <v>44464</v>
      </c>
      <c r="I44" s="4"/>
      <c r="J44" s="14">
        <f>IF(DAY(OctSun1)=1,IF(AND(YEAR(OctSun1+15)=CalendarYear,MONTH(OctSun1+15)=10),OctSun1+15,""),IF(AND(YEAR(OctSun1+22)=CalendarYear,MONTH(OctSun1+22)=10),OctSun1+22,""))</f>
        <v>44486</v>
      </c>
      <c r="K44" s="15">
        <f>IF(DAY(OctSun1)=1,IF(AND(YEAR(OctSun1+16)=CalendarYear,MONTH(OctSun1+16)=10),OctSun1+16,""),IF(AND(YEAR(OctSun1+23)=CalendarYear,MONTH(OctSun1+23)=10),OctSun1+23,""))</f>
        <v>44487</v>
      </c>
      <c r="L44" s="15">
        <f>IF(DAY(OctSun1)=1,IF(AND(YEAR(OctSun1+17)=CalendarYear,MONTH(OctSun1+17)=10),OctSun1+17,""),IF(AND(YEAR(OctSun1+24)=CalendarYear,MONTH(OctSun1+24)=10),OctSun1+24,""))</f>
        <v>44488</v>
      </c>
      <c r="M44" s="15">
        <f>IF(DAY(OctSun1)=1,IF(AND(YEAR(OctSun1+18)=CalendarYear,MONTH(OctSun1+18)=10),OctSun1+18,""),IF(AND(YEAR(OctSun1+25)=CalendarYear,MONTH(OctSun1+25)=10),OctSun1+25,""))</f>
        <v>44489</v>
      </c>
      <c r="N44" s="15">
        <f>IF(DAY(OctSun1)=1,IF(AND(YEAR(OctSun1+19)=CalendarYear,MONTH(OctSun1+19)=10),OctSun1+19,""),IF(AND(YEAR(OctSun1+26)=CalendarYear,MONTH(OctSun1+26)=10),OctSun1+26,""))</f>
        <v>44490</v>
      </c>
      <c r="O44" s="15">
        <f>IF(DAY(OctSun1)=1,IF(AND(YEAR(OctSun1+20)=CalendarYear,MONTH(OctSun1+20)=10),OctSun1+20,""),IF(AND(YEAR(OctSun1+27)=CalendarYear,MONTH(OctSun1+27)=10),OctSun1+27,""))</f>
        <v>44491</v>
      </c>
      <c r="P44" s="14">
        <f>IF(DAY(OctSun1)=1,IF(AND(YEAR(OctSun1+21)=CalendarYear,MONTH(OctSun1+21)=10),OctSun1+21,""),IF(AND(YEAR(OctSun1+28)=CalendarYear,MONTH(OctSun1+28)=10),OctSun1+28,""))</f>
        <v>44492</v>
      </c>
      <c r="Q44" s="5"/>
      <c r="R44" s="5"/>
    </row>
    <row r="45" spans="1:18" ht="14.1" customHeight="1">
      <c r="A45" s="1"/>
      <c r="B45" s="14">
        <f>IF(DAY(SepSun1)=1,IF(AND(YEAR(SepSun1+22)=CalendarYear,MONTH(SepSun1+22)=9),SepSun1+22,""),IF(AND(YEAR(SepSun1+29)=CalendarYear,MONTH(SepSun1+29)=9),SepSun1+29,""))</f>
        <v>44465</v>
      </c>
      <c r="C45" s="15">
        <f>IF(DAY(SepSun1)=1,IF(AND(YEAR(SepSun1+23)=CalendarYear,MONTH(SepSun1+23)=9),SepSun1+23,""),IF(AND(YEAR(SepSun1+30)=CalendarYear,MONTH(SepSun1+30)=9),SepSun1+30,""))</f>
        <v>44466</v>
      </c>
      <c r="D45" s="15">
        <f>IF(DAY(SepSun1)=1,IF(AND(YEAR(SepSun1+24)=CalendarYear,MONTH(SepSun1+24)=9),SepSun1+24,""),IF(AND(YEAR(SepSun1+31)=CalendarYear,MONTH(SepSun1+31)=9),SepSun1+31,""))</f>
        <v>44467</v>
      </c>
      <c r="E45" s="15">
        <f>IF(DAY(SepSun1)=1,IF(AND(YEAR(SepSun1+25)=CalendarYear,MONTH(SepSun1+25)=9),SepSun1+25,""),IF(AND(YEAR(SepSun1+32)=CalendarYear,MONTH(SepSun1+32)=9),SepSun1+32,""))</f>
        <v>44468</v>
      </c>
      <c r="F45" s="15">
        <f>IF(DAY(SepSun1)=1,IF(AND(YEAR(SepSun1+26)=CalendarYear,MONTH(SepSun1+26)=9),SepSun1+26,""),IF(AND(YEAR(SepSun1+33)=CalendarYear,MONTH(SepSun1+33)=9),SepSun1+33,""))</f>
        <v>44469</v>
      </c>
      <c r="G45" s="15" t="str">
        <f>IF(DAY(SepSun1)=1,IF(AND(YEAR(SepSun1+27)=CalendarYear,MONTH(SepSun1+27)=9),SepSun1+27,""),IF(AND(YEAR(SepSun1+34)=CalendarYear,MONTH(SepSun1+34)=9),SepSun1+34,""))</f>
        <v/>
      </c>
      <c r="H45" s="14" t="str">
        <f>IF(DAY(SepSun1)=1,IF(AND(YEAR(SepSun1+28)=CalendarYear,MONTH(SepSun1+28)=9),SepSun1+28,""),IF(AND(YEAR(SepSun1+35)=CalendarYear,MONTH(SepSun1+35)=9),SepSun1+35,""))</f>
        <v/>
      </c>
      <c r="I45" s="4"/>
      <c r="J45" s="14">
        <f>IF(DAY(OctSun1)=1,IF(AND(YEAR(OctSun1+22)=CalendarYear,MONTH(OctSun1+22)=10),OctSun1+22,""),IF(AND(YEAR(OctSun1+29)=CalendarYear,MONTH(OctSun1+29)=10),OctSun1+29,""))</f>
        <v>44493</v>
      </c>
      <c r="K45" s="15">
        <f>IF(DAY(OctSun1)=1,IF(AND(YEAR(OctSun1+23)=CalendarYear,MONTH(OctSun1+23)=10),OctSun1+23,""),IF(AND(YEAR(OctSun1+30)=CalendarYear,MONTH(OctSun1+30)=10),OctSun1+30,""))</f>
        <v>44494</v>
      </c>
      <c r="L45" s="15">
        <f>IF(DAY(OctSun1)=1,IF(AND(YEAR(OctSun1+24)=CalendarYear,MONTH(OctSun1+24)=10),OctSun1+24,""),IF(AND(YEAR(OctSun1+31)=CalendarYear,MONTH(OctSun1+31)=10),OctSun1+31,""))</f>
        <v>44495</v>
      </c>
      <c r="M45" s="15">
        <f>IF(DAY(OctSun1)=1,IF(AND(YEAR(OctSun1+25)=CalendarYear,MONTH(OctSun1+25)=10),OctSun1+25,""),IF(AND(YEAR(OctSun1+32)=CalendarYear,MONTH(OctSun1+32)=10),OctSun1+32,""))</f>
        <v>44496</v>
      </c>
      <c r="N45" s="15">
        <f>IF(DAY(OctSun1)=1,IF(AND(YEAR(OctSun1+26)=CalendarYear,MONTH(OctSun1+26)=10),OctSun1+26,""),IF(AND(YEAR(OctSun1+33)=CalendarYear,MONTH(OctSun1+33)=10),OctSun1+33,""))</f>
        <v>44497</v>
      </c>
      <c r="O45" s="15">
        <f>IF(DAY(OctSun1)=1,IF(AND(YEAR(OctSun1+27)=CalendarYear,MONTH(OctSun1+27)=10),OctSun1+27,""),IF(AND(YEAR(OctSun1+34)=CalendarYear,MONTH(OctSun1+34)=10),OctSun1+34,""))</f>
        <v>44498</v>
      </c>
      <c r="P45" s="14">
        <f>IF(DAY(OctSun1)=1,IF(AND(YEAR(OctSun1+28)=CalendarYear,MONTH(OctSun1+28)=10),OctSun1+28,""),IF(AND(YEAR(OctSun1+35)=CalendarYear,MONTH(OctSun1+35)=10),OctSun1+35,""))</f>
        <v>44499</v>
      </c>
      <c r="Q45" s="5"/>
      <c r="R45" s="5"/>
    </row>
    <row r="46" spans="1:18" ht="14.1" customHeight="1">
      <c r="A46" s="1"/>
      <c r="B46" s="14" t="str">
        <f>IF(DAY(SepSun1)=1,IF(AND(YEAR(SepSun1+29)=CalendarYear,MONTH(SepSun1+29)=9),SepSun1+29,""),IF(AND(YEAR(SepSun1+36)=CalendarYear,MONTH(SepSun1+36)=9),SepSun1+36,""))</f>
        <v/>
      </c>
      <c r="C46" s="15" t="str">
        <f>IF(DAY(SepSun1)=1,IF(AND(YEAR(SepSun1+30)=CalendarYear,MONTH(SepSun1+30)=9),SepSun1+30,""),IF(AND(YEAR(SepSun1+37)=CalendarYear,MONTH(SepSun1+37)=9),SepSun1+37,""))</f>
        <v/>
      </c>
      <c r="D46" s="15" t="str">
        <f>IF(DAY(SepSun1)=1,IF(AND(YEAR(SepSun1+31)=CalendarYear,MONTH(SepSun1+31)=9),SepSun1+31,""),IF(AND(YEAR(SepSun1+38)=CalendarYear,MONTH(SepSun1+38)=9),SepSun1+38,""))</f>
        <v/>
      </c>
      <c r="E46" s="15" t="str">
        <f>IF(DAY(SepSun1)=1,IF(AND(YEAR(SepSun1+32)=CalendarYear,MONTH(SepSun1+32)=9),SepSun1+32,""),IF(AND(YEAR(SepSun1+39)=CalendarYear,MONTH(SepSun1+39)=9),SepSun1+39,""))</f>
        <v/>
      </c>
      <c r="F46" s="15" t="str">
        <f>IF(DAY(SepSun1)=1,IF(AND(YEAR(SepSun1+33)=CalendarYear,MONTH(SepSun1+33)=9),SepSun1+33,""),IF(AND(YEAR(SepSun1+40)=CalendarYear,MONTH(SepSun1+40)=9),SepSun1+40,""))</f>
        <v/>
      </c>
      <c r="G46" s="15" t="str">
        <f>IF(DAY(SepSun1)=1,IF(AND(YEAR(SepSun1+34)=CalendarYear,MONTH(SepSun1+34)=9),SepSun1+34,""),IF(AND(YEAR(SepSun1+41)=CalendarYear,MONTH(SepSun1+41)=9),SepSun1+41,""))</f>
        <v/>
      </c>
      <c r="H46" s="14" t="str">
        <f>IF(DAY(SepSun1)=1,IF(AND(YEAR(SepSun1+35)=CalendarYear,MONTH(SepSun1+35)=9),SepSun1+35,""),IF(AND(YEAR(SepSun1+42)=CalendarYear,MONTH(SepSun1+42)=9),SepSun1+42,""))</f>
        <v/>
      </c>
      <c r="I46" s="4"/>
      <c r="J46" s="15">
        <f>IF(DAY(OctSun1)=1,IF(AND(YEAR(OctSun1+29)=CalendarYear,MONTH(OctSun1+29)=10),OctSun1+29,""),IF(AND(YEAR(OctSun1+36)=CalendarYear,MONTH(OctSun1+36)=10),OctSun1+36,""))</f>
        <v>44500</v>
      </c>
      <c r="K46" s="15" t="str">
        <f>IF(DAY(OctSun1)=1,IF(AND(YEAR(OctSun1+30)=CalendarYear,MONTH(OctSun1+30)=10),OctSun1+30,""),IF(AND(YEAR(OctSun1+37)=CalendarYear,MONTH(OctSun1+37)=10),OctSun1+37,""))</f>
        <v/>
      </c>
      <c r="L46" s="15" t="str">
        <f>IF(DAY(OctSun1)=1,IF(AND(YEAR(OctSun1+31)=CalendarYear,MONTH(OctSun1+31)=10),OctSun1+31,""),IF(AND(YEAR(OctSun1+38)=CalendarYear,MONTH(OctSun1+38)=10),OctSun1+38,""))</f>
        <v/>
      </c>
      <c r="M46" s="15" t="str">
        <f>IF(DAY(OctSun1)=1,IF(AND(YEAR(OctSun1+32)=CalendarYear,MONTH(OctSun1+32)=10),OctSun1+32,""),IF(AND(YEAR(OctSun1+39)=CalendarYear,MONTH(OctSun1+39)=10),OctSun1+39,""))</f>
        <v/>
      </c>
      <c r="N46" s="15" t="str">
        <f>IF(DAY(OctSun1)=1,IF(AND(YEAR(OctSun1+33)=CalendarYear,MONTH(OctSun1+33)=10),OctSun1+33,""),IF(AND(YEAR(OctSun1+40)=CalendarYear,MONTH(OctSun1+40)=10),OctSun1+40,""))</f>
        <v/>
      </c>
      <c r="O46" s="15" t="str">
        <f>IF(DAY(OctSun1)=1,IF(AND(YEAR(OctSun1+34)=CalendarYear,MONTH(OctSun1+34)=10),OctSun1+34,""),IF(AND(YEAR(OctSun1+41)=CalendarYear,MONTH(OctSun1+41)=10),OctSun1+41,""))</f>
        <v/>
      </c>
      <c r="P46" s="14" t="str">
        <f>IF(DAY(OctSun1)=1,IF(AND(YEAR(OctSun1+35)=CalendarYear,MONTH(OctSun1+35)=10),OctSun1+35,""),IF(AND(YEAR(OctSun1+42)=CalendarYear,MONTH(OctSun1+42)=10),OctSun1+42,""))</f>
        <v/>
      </c>
      <c r="Q46" s="5"/>
      <c r="R46" s="5"/>
    </row>
    <row r="47" spans="1:18" ht="14.1" customHeight="1">
      <c r="A47" s="1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1:18" ht="14.1" customHeight="1">
      <c r="A48" s="1"/>
      <c r="B48" s="31" t="s">
        <v>12</v>
      </c>
      <c r="C48" s="31"/>
      <c r="D48" s="31"/>
      <c r="E48" s="31"/>
      <c r="F48" s="31"/>
      <c r="G48" s="31"/>
      <c r="H48" s="31"/>
      <c r="I48" s="4"/>
      <c r="J48" s="31" t="s">
        <v>13</v>
      </c>
      <c r="K48" s="31"/>
      <c r="L48" s="31"/>
      <c r="M48" s="31"/>
      <c r="N48" s="31"/>
      <c r="O48" s="31"/>
      <c r="P48" s="31"/>
      <c r="Q48" s="5"/>
      <c r="R48" s="5"/>
    </row>
    <row r="49" spans="1:18" ht="14.1" customHeight="1">
      <c r="A49" s="1"/>
      <c r="B49" s="6" t="s">
        <v>0</v>
      </c>
      <c r="C49" s="6" t="s">
        <v>1</v>
      </c>
      <c r="D49" s="6" t="s">
        <v>2</v>
      </c>
      <c r="E49" s="6" t="s">
        <v>3</v>
      </c>
      <c r="F49" s="6" t="s">
        <v>2</v>
      </c>
      <c r="G49" s="6" t="s">
        <v>4</v>
      </c>
      <c r="H49" s="6" t="s">
        <v>0</v>
      </c>
      <c r="I49" s="4"/>
      <c r="J49" s="6" t="s">
        <v>0</v>
      </c>
      <c r="K49" s="6" t="s">
        <v>1</v>
      </c>
      <c r="L49" s="6" t="s">
        <v>2</v>
      </c>
      <c r="M49" s="6" t="s">
        <v>3</v>
      </c>
      <c r="N49" s="6" t="s">
        <v>2</v>
      </c>
      <c r="O49" s="6" t="s">
        <v>4</v>
      </c>
      <c r="P49" s="6" t="s">
        <v>0</v>
      </c>
      <c r="Q49" s="5"/>
      <c r="R49" s="5"/>
    </row>
    <row r="50" spans="1:18" ht="14.1" customHeight="1">
      <c r="A50" s="1"/>
      <c r="B50" s="14" t="str">
        <f>IF(DAY(NovSun1)=1,"",IF(AND(YEAR(NovSun1+1)=CalendarYear,MONTH(NovSun1+1)=11),NovSun1+1,""))</f>
        <v/>
      </c>
      <c r="C50" s="15">
        <f>IF(DAY(NovSun1)=1,"",IF(AND(YEAR(NovSun1+2)=CalendarYear,MONTH(NovSun1+2)=11),NovSun1+2,""))</f>
        <v>44501</v>
      </c>
      <c r="D50" s="15">
        <f>IF(DAY(NovSun1)=1,"",IF(AND(YEAR(NovSun1+3)=CalendarYear,MONTH(NovSun1+3)=11),NovSun1+3,""))</f>
        <v>44502</v>
      </c>
      <c r="E50" s="15">
        <f>IF(DAY(NovSun1)=1,"",IF(AND(YEAR(NovSun1+4)=CalendarYear,MONTH(NovSun1+4)=11),NovSun1+4,""))</f>
        <v>44503</v>
      </c>
      <c r="F50" s="15">
        <f>IF(DAY(NovSun1)=1,"",IF(AND(YEAR(NovSun1+5)=CalendarYear,MONTH(NovSun1+5)=11),NovSun1+5,""))</f>
        <v>44504</v>
      </c>
      <c r="G50" s="15">
        <f>IF(DAY(NovSun1)=1,"",IF(AND(YEAR(NovSun1+6)=CalendarYear,MONTH(NovSun1+6)=11),NovSun1+6,""))</f>
        <v>44505</v>
      </c>
      <c r="H50" s="15">
        <f>IF(DAY(NovSun1)=1,IF(AND(YEAR(NovSun1)=CalendarYear,MONTH(NovSun1)=11),NovSun1,""),IF(AND(YEAR(NovSun1+7)=CalendarYear,MONTH(NovSun1+7)=11),NovSun1+7,""))</f>
        <v>44506</v>
      </c>
      <c r="I50" s="4"/>
      <c r="J50" s="14" t="str">
        <f>IF(DAY(DecSun1)=1,"",IF(AND(YEAR(DecSun1+1)=CalendarYear,MONTH(DecSun1+1)=12),DecSun1+1,""))</f>
        <v/>
      </c>
      <c r="K50" s="15" t="str">
        <f>IF(DAY(DecSun1)=1,"",IF(AND(YEAR(DecSun1+2)=CalendarYear,MONTH(DecSun1+2)=12),DecSun1+2,""))</f>
        <v/>
      </c>
      <c r="L50" s="15" t="str">
        <f>IF(DAY(DecSun1)=1,"",IF(AND(YEAR(DecSun1+3)=CalendarYear,MONTH(DecSun1+3)=12),DecSun1+3,""))</f>
        <v/>
      </c>
      <c r="M50" s="15">
        <f>IF(DAY(DecSun1)=1,"",IF(AND(YEAR(DecSun1+4)=CalendarYear,MONTH(DecSun1+4)=12),DecSun1+4,""))</f>
        <v>44531</v>
      </c>
      <c r="N50" s="15">
        <f>IF(DAY(DecSun1)=1,"",IF(AND(YEAR(DecSun1+5)=CalendarYear,MONTH(DecSun1+5)=12),DecSun1+5,""))</f>
        <v>44532</v>
      </c>
      <c r="O50" s="15">
        <f>IF(DAY(DecSun1)=1,"",IF(AND(YEAR(DecSun1+6)=CalendarYear,MONTH(DecSun1+6)=12),DecSun1+6,""))</f>
        <v>44533</v>
      </c>
      <c r="P50" s="14">
        <f>IF(DAY(DecSun1)=1,IF(AND(YEAR(DecSun1)=CalendarYear,MONTH(DecSun1)=12),DecSun1,""),IF(AND(YEAR(DecSun1+7)=CalendarYear,MONTH(DecSun1+7)=12),DecSun1+7,""))</f>
        <v>44534</v>
      </c>
      <c r="Q50" s="5"/>
      <c r="R50" s="5"/>
    </row>
    <row r="51" spans="1:18" ht="14.1" customHeight="1">
      <c r="A51" s="1"/>
      <c r="B51" s="14">
        <f>IF(DAY(NovSun1)=1,IF(AND(YEAR(NovSun1+1)=CalendarYear,MONTH(NovSun1+1)=11),NovSun1+1,""),IF(AND(YEAR(NovSun1+8)=CalendarYear,MONTH(NovSun1+8)=11),NovSun1+8,""))</f>
        <v>44507</v>
      </c>
      <c r="C51" s="15">
        <f>IF(DAY(NovSun1)=1,IF(AND(YEAR(NovSun1+2)=CalendarYear,MONTH(NovSun1+2)=11),NovSun1+2,""),IF(AND(YEAR(NovSun1+9)=CalendarYear,MONTH(NovSun1+9)=11),NovSun1+9,""))</f>
        <v>44508</v>
      </c>
      <c r="D51" s="15">
        <f>IF(DAY(NovSun1)=1,IF(AND(YEAR(NovSun1+3)=CalendarYear,MONTH(NovSun1+3)=11),NovSun1+3,""),IF(AND(YEAR(NovSun1+10)=CalendarYear,MONTH(NovSun1+10)=11),NovSun1+10,""))</f>
        <v>44509</v>
      </c>
      <c r="E51" s="15">
        <f>IF(DAY(NovSun1)=1,IF(AND(YEAR(NovSun1+4)=CalendarYear,MONTH(NovSun1+4)=11),NovSun1+4,""),IF(AND(YEAR(NovSun1+11)=CalendarYear,MONTH(NovSun1+11)=11),NovSun1+11,""))</f>
        <v>44510</v>
      </c>
      <c r="F51" s="15">
        <f>IF(DAY(NovSun1)=1,IF(AND(YEAR(NovSun1+5)=CalendarYear,MONTH(NovSun1+5)=11),NovSun1+5,""),IF(AND(YEAR(NovSun1+12)=CalendarYear,MONTH(NovSun1+12)=11),NovSun1+12,""))</f>
        <v>44511</v>
      </c>
      <c r="G51" s="15">
        <f>IF(DAY(NovSun1)=1,IF(AND(YEAR(NovSun1+6)=CalendarYear,MONTH(NovSun1+6)=11),NovSun1+6,""),IF(AND(YEAR(NovSun1+13)=CalendarYear,MONTH(NovSun1+13)=11),NovSun1+13,""))</f>
        <v>44512</v>
      </c>
      <c r="H51" s="14">
        <f>IF(DAY(NovSun1)=1,IF(AND(YEAR(NovSun1+7)=CalendarYear,MONTH(NovSun1+7)=11),NovSun1+7,""),IF(AND(YEAR(NovSun1+14)=CalendarYear,MONTH(NovSun1+14)=11),NovSun1+14,""))</f>
        <v>44513</v>
      </c>
      <c r="I51" s="4"/>
      <c r="J51" s="14">
        <f>IF(DAY(DecSun1)=1,IF(AND(YEAR(DecSun1+1)=CalendarYear,MONTH(DecSun1+1)=12),DecSun1+1,""),IF(AND(YEAR(DecSun1+8)=CalendarYear,MONTH(DecSun1+8)=12),DecSun1+8,""))</f>
        <v>44535</v>
      </c>
      <c r="K51" s="15">
        <f>IF(DAY(DecSun1)=1,IF(AND(YEAR(DecSun1+2)=CalendarYear,MONTH(DecSun1+2)=12),DecSun1+2,""),IF(AND(YEAR(DecSun1+9)=CalendarYear,MONTH(DecSun1+9)=12),DecSun1+9,""))</f>
        <v>44536</v>
      </c>
      <c r="L51" s="15">
        <f>IF(DAY(DecSun1)=1,IF(AND(YEAR(DecSun1+3)=CalendarYear,MONTH(DecSun1+3)=12),DecSun1+3,""),IF(AND(YEAR(DecSun1+10)=CalendarYear,MONTH(DecSun1+10)=12),DecSun1+10,""))</f>
        <v>44537</v>
      </c>
      <c r="M51" s="15">
        <f>IF(DAY(DecSun1)=1,IF(AND(YEAR(DecSun1+4)=CalendarYear,MONTH(DecSun1+4)=12),DecSun1+4,""),IF(AND(YEAR(DecSun1+11)=CalendarYear,MONTH(DecSun1+11)=12),DecSun1+11,""))</f>
        <v>44538</v>
      </c>
      <c r="N51" s="15">
        <f>IF(DAY(DecSun1)=1,IF(AND(YEAR(DecSun1+5)=CalendarYear,MONTH(DecSun1+5)=12),DecSun1+5,""),IF(AND(YEAR(DecSun1+12)=CalendarYear,MONTH(DecSun1+12)=12),DecSun1+12,""))</f>
        <v>44539</v>
      </c>
      <c r="O51" s="15">
        <f>IF(DAY(DecSun1)=1,IF(AND(YEAR(DecSun1+6)=CalendarYear,MONTH(DecSun1+6)=12),DecSun1+6,""),IF(AND(YEAR(DecSun1+13)=CalendarYear,MONTH(DecSun1+13)=12),DecSun1+13,""))</f>
        <v>44540</v>
      </c>
      <c r="P51" s="14">
        <f>IF(DAY(DecSun1)=1,IF(AND(YEAR(DecSun1+7)=CalendarYear,MONTH(DecSun1+7)=12),DecSun1+7,""),IF(AND(YEAR(DecSun1+14)=CalendarYear,MONTH(DecSun1+14)=12),DecSun1+14,""))</f>
        <v>44541</v>
      </c>
      <c r="Q51" s="5"/>
      <c r="R51" s="5"/>
    </row>
    <row r="52" spans="1:18" ht="14.1" customHeight="1">
      <c r="A52" s="1"/>
      <c r="B52" s="14">
        <f>IF(DAY(NovSun1)=1,IF(AND(YEAR(NovSun1+8)=CalendarYear,MONTH(NovSun1+8)=11),NovSun1+8,""),IF(AND(YEAR(NovSun1+15)=CalendarYear,MONTH(NovSun1+15)=11),NovSun1+15,""))</f>
        <v>44514</v>
      </c>
      <c r="C52" s="15">
        <f>IF(DAY(NovSun1)=1,IF(AND(YEAR(NovSun1+9)=CalendarYear,MONTH(NovSun1+9)=11),NovSun1+9,""),IF(AND(YEAR(NovSun1+16)=CalendarYear,MONTH(NovSun1+16)=11),NovSun1+16,""))</f>
        <v>44515</v>
      </c>
      <c r="D52" s="15">
        <f>IF(DAY(NovSun1)=1,IF(AND(YEAR(NovSun1+10)=CalendarYear,MONTH(NovSun1+10)=11),NovSun1+10,""),IF(AND(YEAR(NovSun1+17)=CalendarYear,MONTH(NovSun1+17)=11),NovSun1+17,""))</f>
        <v>44516</v>
      </c>
      <c r="E52" s="15">
        <f>IF(DAY(NovSun1)=1,IF(AND(YEAR(NovSun1+11)=CalendarYear,MONTH(NovSun1+11)=11),NovSun1+11,""),IF(AND(YEAR(NovSun1+18)=CalendarYear,MONTH(NovSun1+18)=11),NovSun1+18,""))</f>
        <v>44517</v>
      </c>
      <c r="F52" s="15">
        <f>IF(DAY(NovSun1)=1,IF(AND(YEAR(NovSun1+12)=CalendarYear,MONTH(NovSun1+12)=11),NovSun1+12,""),IF(AND(YEAR(NovSun1+19)=CalendarYear,MONTH(NovSun1+19)=11),NovSun1+19,""))</f>
        <v>44518</v>
      </c>
      <c r="G52" s="15">
        <f>IF(DAY(NovSun1)=1,IF(AND(YEAR(NovSun1+13)=CalendarYear,MONTH(NovSun1+13)=11),NovSun1+13,""),IF(AND(YEAR(NovSun1+20)=CalendarYear,MONTH(NovSun1+20)=11),NovSun1+20,""))</f>
        <v>44519</v>
      </c>
      <c r="H52" s="14">
        <f>IF(DAY(NovSun1)=1,IF(AND(YEAR(NovSun1+14)=CalendarYear,MONTH(NovSun1+14)=11),NovSun1+14,""),IF(AND(YEAR(NovSun1+21)=CalendarYear,MONTH(NovSun1+21)=11),NovSun1+21,""))</f>
        <v>44520</v>
      </c>
      <c r="I52" s="4"/>
      <c r="J52" s="14">
        <f>IF(DAY(DecSun1)=1,IF(AND(YEAR(DecSun1+8)=CalendarYear,MONTH(DecSun1+8)=12),DecSun1+8,""),IF(AND(YEAR(DecSun1+15)=CalendarYear,MONTH(DecSun1+15)=12),DecSun1+15,""))</f>
        <v>44542</v>
      </c>
      <c r="K52" s="15">
        <f>IF(DAY(DecSun1)=1,IF(AND(YEAR(DecSun1+9)=CalendarYear,MONTH(DecSun1+9)=12),DecSun1+9,""),IF(AND(YEAR(DecSun1+16)=CalendarYear,MONTH(DecSun1+16)=12),DecSun1+16,""))</f>
        <v>44543</v>
      </c>
      <c r="L52" s="15">
        <f>IF(DAY(DecSun1)=1,IF(AND(YEAR(DecSun1+10)=CalendarYear,MONTH(DecSun1+10)=12),DecSun1+10,""),IF(AND(YEAR(DecSun1+17)=CalendarYear,MONTH(DecSun1+17)=12),DecSun1+17,""))</f>
        <v>44544</v>
      </c>
      <c r="M52" s="15">
        <f>IF(DAY(DecSun1)=1,IF(AND(YEAR(DecSun1+11)=CalendarYear,MONTH(DecSun1+11)=12),DecSun1+11,""),IF(AND(YEAR(DecSun1+18)=CalendarYear,MONTH(DecSun1+18)=12),DecSun1+18,""))</f>
        <v>44545</v>
      </c>
      <c r="N52" s="15">
        <f>IF(DAY(DecSun1)=1,IF(AND(YEAR(DecSun1+12)=CalendarYear,MONTH(DecSun1+12)=12),DecSun1+12,""),IF(AND(YEAR(DecSun1+19)=CalendarYear,MONTH(DecSun1+19)=12),DecSun1+19,""))</f>
        <v>44546</v>
      </c>
      <c r="O52" s="15">
        <f>IF(DAY(DecSun1)=1,IF(AND(YEAR(DecSun1+13)=CalendarYear,MONTH(DecSun1+13)=12),DecSun1+13,""),IF(AND(YEAR(DecSun1+20)=CalendarYear,MONTH(DecSun1+20)=12),DecSun1+20,""))</f>
        <v>44547</v>
      </c>
      <c r="P52" s="14">
        <f>IF(DAY(DecSun1)=1,IF(AND(YEAR(DecSun1+14)=CalendarYear,MONTH(DecSun1+14)=12),DecSun1+14,""),IF(AND(YEAR(DecSun1+21)=CalendarYear,MONTH(DecSun1+21)=12),DecSun1+21,""))</f>
        <v>44548</v>
      </c>
      <c r="Q52" s="5"/>
      <c r="R52" s="5"/>
    </row>
    <row r="53" spans="1:18" ht="14.1" customHeight="1">
      <c r="A53" s="1"/>
      <c r="B53" s="14">
        <f>IF(DAY(NovSun1)=1,IF(AND(YEAR(NovSun1+15)=CalendarYear,MONTH(NovSun1+15)=11),NovSun1+15,""),IF(AND(YEAR(NovSun1+22)=CalendarYear,MONTH(NovSun1+22)=11),NovSun1+22,""))</f>
        <v>44521</v>
      </c>
      <c r="C53" s="15">
        <f>IF(DAY(NovSun1)=1,IF(AND(YEAR(NovSun1+16)=CalendarYear,MONTH(NovSun1+16)=11),NovSun1+16,""),IF(AND(YEAR(NovSun1+23)=CalendarYear,MONTH(NovSun1+23)=11),NovSun1+23,""))</f>
        <v>44522</v>
      </c>
      <c r="D53" s="15">
        <f>IF(DAY(NovSun1)=1,IF(AND(YEAR(NovSun1+17)=CalendarYear,MONTH(NovSun1+17)=11),NovSun1+17,""),IF(AND(YEAR(NovSun1+24)=CalendarYear,MONTH(NovSun1+24)=11),NovSun1+24,""))</f>
        <v>44523</v>
      </c>
      <c r="E53" s="15">
        <f>IF(DAY(NovSun1)=1,IF(AND(YEAR(NovSun1+18)=CalendarYear,MONTH(NovSun1+18)=11),NovSun1+18,""),IF(AND(YEAR(NovSun1+25)=CalendarYear,MONTH(NovSun1+25)=11),NovSun1+25,""))</f>
        <v>44524</v>
      </c>
      <c r="F53" s="15">
        <f>IF(DAY(NovSun1)=1,IF(AND(YEAR(NovSun1+19)=CalendarYear,MONTH(NovSun1+19)=11),NovSun1+19,""),IF(AND(YEAR(NovSun1+26)=CalendarYear,MONTH(NovSun1+26)=11),NovSun1+26,""))</f>
        <v>44525</v>
      </c>
      <c r="G53" s="15">
        <f>IF(DAY(NovSun1)=1,IF(AND(YEAR(NovSun1+20)=CalendarYear,MONTH(NovSun1+20)=11),NovSun1+20,""),IF(AND(YEAR(NovSun1+27)=CalendarYear,MONTH(NovSun1+27)=11),NovSun1+27,""))</f>
        <v>44526</v>
      </c>
      <c r="H53" s="14">
        <f>IF(DAY(NovSun1)=1,IF(AND(YEAR(NovSun1+21)=CalendarYear,MONTH(NovSun1+21)=11),NovSun1+21,""),IF(AND(YEAR(NovSun1+28)=CalendarYear,MONTH(NovSun1+28)=11),NovSun1+28,""))</f>
        <v>44527</v>
      </c>
      <c r="I53" s="4"/>
      <c r="J53" s="14">
        <f>IF(DAY(DecSun1)=1,IF(AND(YEAR(DecSun1+15)=CalendarYear,MONTH(DecSun1+15)=12),DecSun1+15,""),IF(AND(YEAR(DecSun1+22)=CalendarYear,MONTH(DecSun1+22)=12),DecSun1+22,""))</f>
        <v>44549</v>
      </c>
      <c r="K53" s="15">
        <f>IF(DAY(DecSun1)=1,IF(AND(YEAR(DecSun1+16)=CalendarYear,MONTH(DecSun1+16)=12),DecSun1+16,""),IF(AND(YEAR(DecSun1+23)=CalendarYear,MONTH(DecSun1+23)=12),DecSun1+23,""))</f>
        <v>44550</v>
      </c>
      <c r="L53" s="15">
        <f>IF(DAY(DecSun1)=1,IF(AND(YEAR(DecSun1+17)=CalendarYear,MONTH(DecSun1+17)=12),DecSun1+17,""),IF(AND(YEAR(DecSun1+24)=CalendarYear,MONTH(DecSun1+24)=12),DecSun1+24,""))</f>
        <v>44551</v>
      </c>
      <c r="M53" s="15">
        <f>IF(DAY(DecSun1)=1,IF(AND(YEAR(DecSun1+18)=CalendarYear,MONTH(DecSun1+18)=12),DecSun1+18,""),IF(AND(YEAR(DecSun1+25)=CalendarYear,MONTH(DecSun1+25)=12),DecSun1+25,""))</f>
        <v>44552</v>
      </c>
      <c r="N53" s="15">
        <f>IF(DAY(DecSun1)=1,IF(AND(YEAR(DecSun1+19)=CalendarYear,MONTH(DecSun1+19)=12),DecSun1+19,""),IF(AND(YEAR(DecSun1+26)=CalendarYear,MONTH(DecSun1+26)=12),DecSun1+26,""))</f>
        <v>44553</v>
      </c>
      <c r="O53" s="15">
        <f>IF(DAY(DecSun1)=1,IF(AND(YEAR(DecSun1+20)=CalendarYear,MONTH(DecSun1+20)=12),DecSun1+20,""),IF(AND(YEAR(DecSun1+27)=CalendarYear,MONTH(DecSun1+27)=12),DecSun1+27,""))</f>
        <v>44554</v>
      </c>
      <c r="P53" s="14">
        <f>IF(DAY(DecSun1)=1,IF(AND(YEAR(DecSun1+21)=CalendarYear,MONTH(DecSun1+21)=12),DecSun1+21,""),IF(AND(YEAR(DecSun1+28)=CalendarYear,MONTH(DecSun1+28)=12),DecSun1+28,""))</f>
        <v>44555</v>
      </c>
      <c r="Q53" s="5"/>
      <c r="R53" s="5"/>
    </row>
    <row r="54" spans="1:18" ht="14.1" customHeight="1">
      <c r="A54" s="1"/>
      <c r="B54" s="14">
        <f>IF(DAY(NovSun1)=1,IF(AND(YEAR(NovSun1+22)=CalendarYear,MONTH(NovSun1+22)=11),NovSun1+22,""),IF(AND(YEAR(NovSun1+29)=CalendarYear,MONTH(NovSun1+29)=11),NovSun1+29,""))</f>
        <v>44528</v>
      </c>
      <c r="C54" s="15">
        <f>IF(DAY(NovSun1)=1,IF(AND(YEAR(NovSun1+23)=CalendarYear,MONTH(NovSun1+23)=11),NovSun1+23,""),IF(AND(YEAR(NovSun1+30)=CalendarYear,MONTH(NovSun1+30)=11),NovSun1+30,""))</f>
        <v>44529</v>
      </c>
      <c r="D54" s="15">
        <f>IF(DAY(NovSun1)=1,IF(AND(YEAR(NovSun1+24)=CalendarYear,MONTH(NovSun1+24)=11),NovSun1+24,""),IF(AND(YEAR(NovSun1+31)=CalendarYear,MONTH(NovSun1+31)=11),NovSun1+31,""))</f>
        <v>44530</v>
      </c>
      <c r="E54" s="15" t="str">
        <f>IF(DAY(NovSun1)=1,IF(AND(YEAR(NovSun1+25)=CalendarYear,MONTH(NovSun1+25)=11),NovSun1+25,""),IF(AND(YEAR(NovSun1+32)=CalendarYear,MONTH(NovSun1+32)=11),NovSun1+32,""))</f>
        <v/>
      </c>
      <c r="F54" s="15" t="str">
        <f>IF(DAY(NovSun1)=1,IF(AND(YEAR(NovSun1+26)=CalendarYear,MONTH(NovSun1+26)=11),NovSun1+26,""),IF(AND(YEAR(NovSun1+33)=CalendarYear,MONTH(NovSun1+33)=11),NovSun1+33,""))</f>
        <v/>
      </c>
      <c r="G54" s="15" t="str">
        <f>IF(DAY(NovSun1)=1,IF(AND(YEAR(NovSun1+27)=CalendarYear,MONTH(NovSun1+27)=11),NovSun1+27,""),IF(AND(YEAR(NovSun1+34)=CalendarYear,MONTH(NovSun1+34)=11),NovSun1+34,""))</f>
        <v/>
      </c>
      <c r="H54" s="14" t="str">
        <f>IF(DAY(NovSun1)=1,IF(AND(YEAR(NovSun1+28)=CalendarYear,MONTH(NovSun1+28)=11),NovSun1+28,""),IF(AND(YEAR(NovSun1+35)=CalendarYear,MONTH(NovSun1+35)=11),NovSun1+35,""))</f>
        <v/>
      </c>
      <c r="I54" s="4"/>
      <c r="J54" s="14">
        <f>IF(DAY(DecSun1)=1,IF(AND(YEAR(DecSun1+22)=CalendarYear,MONTH(DecSun1+22)=12),DecSun1+22,""),IF(AND(YEAR(DecSun1+29)=CalendarYear,MONTH(DecSun1+29)=12),DecSun1+29,""))</f>
        <v>44556</v>
      </c>
      <c r="K54" s="15">
        <f>IF(DAY(DecSun1)=1,IF(AND(YEAR(DecSun1+23)=CalendarYear,MONTH(DecSun1+23)=12),DecSun1+23,""),IF(AND(YEAR(DecSun1+30)=CalendarYear,MONTH(DecSun1+30)=12),DecSun1+30,""))</f>
        <v>44557</v>
      </c>
      <c r="L54" s="15">
        <f>IF(DAY(DecSun1)=1,IF(AND(YEAR(DecSun1+24)=CalendarYear,MONTH(DecSun1+24)=12),DecSun1+24,""),IF(AND(YEAR(DecSun1+31)=CalendarYear,MONTH(DecSun1+31)=12),DecSun1+31,""))</f>
        <v>44558</v>
      </c>
      <c r="M54" s="15">
        <f>IF(DAY(DecSun1)=1,IF(AND(YEAR(DecSun1+25)=CalendarYear,MONTH(DecSun1+25)=12),DecSun1+25,""),IF(AND(YEAR(DecSun1+32)=CalendarYear,MONTH(DecSun1+32)=12),DecSun1+32,""))</f>
        <v>44559</v>
      </c>
      <c r="N54" s="15">
        <f>IF(DAY(DecSun1)=1,IF(AND(YEAR(DecSun1+26)=CalendarYear,MONTH(DecSun1+26)=12),DecSun1+26,""),IF(AND(YEAR(DecSun1+33)=CalendarYear,MONTH(DecSun1+33)=12),DecSun1+33,""))</f>
        <v>44560</v>
      </c>
      <c r="O54" s="15">
        <f>IF(DAY(DecSun1)=1,IF(AND(YEAR(DecSun1+27)=CalendarYear,MONTH(DecSun1+27)=12),DecSun1+27,""),IF(AND(YEAR(DecSun1+34)=CalendarYear,MONTH(DecSun1+34)=12),DecSun1+34,""))</f>
        <v>44561</v>
      </c>
      <c r="P54" s="14" t="str">
        <f>IF(DAY(DecSun1)=1,IF(AND(YEAR(DecSun1+28)=CalendarYear,MONTH(DecSun1+28)=12),DecSun1+28,""),IF(AND(YEAR(DecSun1+35)=CalendarYear,MONTH(DecSun1+35)=12),DecSun1+35,""))</f>
        <v/>
      </c>
      <c r="Q54" s="5"/>
      <c r="R54" s="5"/>
    </row>
    <row r="55" spans="1:18" ht="14.1" customHeight="1">
      <c r="A55" s="1"/>
      <c r="B55" s="14" t="str">
        <f>IF(DAY(NovSun1)=1,IF(AND(YEAR(NovSun1+29)=CalendarYear,MONTH(NovSun1+29)=11),NovSun1+29,""),IF(AND(YEAR(NovSun1+36)=CalendarYear,MONTH(NovSun1+36)=11),NovSun1+36,""))</f>
        <v/>
      </c>
      <c r="C55" s="15" t="str">
        <f>IF(DAY(NovSun1)=1,IF(AND(YEAR(NovSun1+30)=CalendarYear,MONTH(NovSun1+30)=11),NovSun1+30,""),IF(AND(YEAR(NovSun1+37)=CalendarYear,MONTH(NovSun1+37)=11),NovSun1+37,""))</f>
        <v/>
      </c>
      <c r="D55" s="15" t="str">
        <f>IF(DAY(NovSun1)=1,IF(AND(YEAR(NovSun1+31)=CalendarYear,MONTH(NovSun1+31)=11),NovSun1+31,""),IF(AND(YEAR(NovSun1+38)=CalendarYear,MONTH(NovSun1+38)=11),NovSun1+38,""))</f>
        <v/>
      </c>
      <c r="E55" s="15" t="str">
        <f>IF(DAY(NovSun1)=1,IF(AND(YEAR(NovSun1+32)=CalendarYear,MONTH(NovSun1+32)=11),NovSun1+32,""),IF(AND(YEAR(NovSun1+39)=CalendarYear,MONTH(NovSun1+39)=11),NovSun1+39,""))</f>
        <v/>
      </c>
      <c r="F55" s="15" t="str">
        <f>IF(DAY(NovSun1)=1,IF(AND(YEAR(NovSun1+33)=CalendarYear,MONTH(NovSun1+33)=11),NovSun1+33,""),IF(AND(YEAR(NovSun1+40)=CalendarYear,MONTH(NovSun1+40)=11),NovSun1+40,""))</f>
        <v/>
      </c>
      <c r="G55" s="15" t="str">
        <f>IF(DAY(NovSun1)=1,IF(AND(YEAR(NovSun1+34)=CalendarYear,MONTH(NovSun1+34)=11),NovSun1+34,""),IF(AND(YEAR(NovSun1+41)=CalendarYear,MONTH(NovSun1+41)=11),NovSun1+41,""))</f>
        <v/>
      </c>
      <c r="H55" s="14" t="str">
        <f>IF(DAY(NovSun1)=1,IF(AND(YEAR(NovSun1+35)=CalendarYear,MONTH(NovSun1+35)=11),NovSun1+35,""),IF(AND(YEAR(NovSun1+42)=CalendarYear,MONTH(NovSun1+42)=11),NovSun1+42,""))</f>
        <v/>
      </c>
      <c r="I55" s="4"/>
      <c r="J55" s="14" t="str">
        <f>IF(DAY(DecSun1)=1,IF(AND(YEAR(DecSun1+29)=CalendarYear,MONTH(DecSun1+29)=12),DecSun1+29,""),IF(AND(YEAR(DecSun1+36)=CalendarYear,MONTH(DecSun1+36)=12),DecSun1+36,""))</f>
        <v/>
      </c>
      <c r="K55" s="15" t="str">
        <f>IF(DAY(DecSun1)=1,IF(AND(YEAR(DecSun1+30)=CalendarYear,MONTH(DecSun1+30)=12),DecSun1+30,""),IF(AND(YEAR(DecSun1+37)=CalendarYear,MONTH(DecSun1+37)=12),DecSun1+37,""))</f>
        <v/>
      </c>
      <c r="L55" s="15" t="str">
        <f>IF(DAY(DecSun1)=1,IF(AND(YEAR(DecSun1+31)=CalendarYear,MONTH(DecSun1+31)=12),DecSun1+31,""),IF(AND(YEAR(DecSun1+38)=CalendarYear,MONTH(DecSun1+38)=12),DecSun1+38,""))</f>
        <v/>
      </c>
      <c r="M55" s="15" t="str">
        <f>IF(DAY(DecSun1)=1,IF(AND(YEAR(DecSun1+32)=CalendarYear,MONTH(DecSun1+32)=12),DecSun1+32,""),IF(AND(YEAR(DecSun1+39)=CalendarYear,MONTH(DecSun1+39)=12),DecSun1+39,""))</f>
        <v/>
      </c>
      <c r="N55" s="15" t="str">
        <f>IF(DAY(DecSun1)=1,IF(AND(YEAR(DecSun1+33)=CalendarYear,MONTH(DecSun1+33)=12),DecSun1+33,""),IF(AND(YEAR(DecSun1+40)=CalendarYear,MONTH(DecSun1+40)=12),DecSun1+40,""))</f>
        <v/>
      </c>
      <c r="O55" s="15" t="str">
        <f>IF(DAY(DecSun1)=1,IF(AND(YEAR(DecSun1+34)=CalendarYear,MONTH(DecSun1+34)=12),DecSun1+34,""),IF(AND(YEAR(DecSun1+41)=CalendarYear,MONTH(DecSun1+41)=12),DecSun1+41,""))</f>
        <v/>
      </c>
      <c r="P55" s="14" t="str">
        <f>IF(DAY(DecSun1)=1,IF(AND(YEAR(DecSun1+35)=CalendarYear,MONTH(DecSun1+35)=12),DecSun1+35,""),IF(AND(YEAR(DecSun1+42)=CalendarYear,MONTH(DecSun1+42)=12),DecSun1+42,""))</f>
        <v/>
      </c>
      <c r="Q55" s="5"/>
      <c r="R55" s="5"/>
    </row>
    <row r="56" spans="1:18" ht="14.1" customHeight="1">
      <c r="A56" s="1"/>
      <c r="B56" s="12"/>
      <c r="C56" s="12"/>
      <c r="D56" s="12"/>
      <c r="E56" s="12"/>
      <c r="F56" s="12"/>
      <c r="G56" s="12"/>
      <c r="H56" s="12"/>
      <c r="I56" s="11"/>
      <c r="J56" s="10"/>
      <c r="K56" s="10"/>
      <c r="L56" s="10"/>
      <c r="M56" s="10"/>
      <c r="N56" s="10"/>
      <c r="O56" s="10"/>
      <c r="P56" s="10"/>
      <c r="Q56" s="5"/>
      <c r="R56" s="5"/>
    </row>
    <row r="57" spans="1:18">
      <c r="B57" s="9"/>
      <c r="C57" s="9"/>
      <c r="D57" s="9"/>
      <c r="E57" s="9"/>
      <c r="F57" s="9"/>
      <c r="G57" s="9"/>
      <c r="H57" s="9"/>
    </row>
  </sheetData>
  <mergeCells count="14">
    <mergeCell ref="R1:U2"/>
    <mergeCell ref="B48:H48"/>
    <mergeCell ref="J48:P48"/>
    <mergeCell ref="B21:H21"/>
    <mergeCell ref="J21:P21"/>
    <mergeCell ref="B30:H30"/>
    <mergeCell ref="J30:P30"/>
    <mergeCell ref="B39:H39"/>
    <mergeCell ref="J39:P39"/>
    <mergeCell ref="B12:H12"/>
    <mergeCell ref="J12:P12"/>
    <mergeCell ref="B1:P1"/>
    <mergeCell ref="B3:H3"/>
    <mergeCell ref="J3:P3"/>
  </mergeCells>
  <conditionalFormatting sqref="B5:H10 J5:P10 B14:H19 J14:P19 B23:H28 J23:P28 B32:H37 J32:P37 B41:H46 J41:P46 B50:H55 J50:P55">
    <cfRule type="expression" dxfId="4" priority="1">
      <formula>VLOOKUP(B5,INDIRECT("StatutoryHolidays[Date]"),1,FALSE)=B5</formula>
    </cfRule>
  </conditionalFormatting>
  <conditionalFormatting sqref="B5:B10 J5:J10 B14:B19 J14:J19 B23:B28 J23:J28 B32:B37 J32:J37 B41:B46 J41:J46 B50:B55 J50:J55">
    <cfRule type="notContainsBlanks" dxfId="3" priority="3">
      <formula>LEN(TRIM(B5))&gt;0</formula>
    </cfRule>
  </conditionalFormatting>
  <printOptions horizontalCentered="1" verticalCentered="1"/>
  <pageMargins left="0.25" right="0.25" top="0.56000000000000005" bottom="0" header="0.2" footer="0"/>
  <pageSetup orientation="portrait" horizontalDpi="300" verticalDpi="300" r:id="rId1"/>
  <headerFooter alignWithMargins="0">
    <oddHeader>&amp;C&amp;20Year 2020</oddHeader>
  </headerFooter>
  <drawing r:id="rId2"/>
  <legacyDrawing r:id="rId3"/>
  <controls>
    <control shapeId="1081" r:id="rId4" name="SpinButtonYear"/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8F78BF83-F276-4641-A4FE-5737D020EBD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OntarioCalendar</vt:lpstr>
      <vt:lpstr>Apr</vt:lpstr>
      <vt:lpstr>Aug</vt:lpstr>
      <vt:lpstr>CalendarYear</vt:lpstr>
      <vt:lpstr>Dec</vt:lpstr>
      <vt:lpstr>Feb</vt:lpstr>
      <vt:lpstr>Jan</vt:lpstr>
      <vt:lpstr>Jul</vt:lpstr>
      <vt:lpstr>Jun</vt:lpstr>
      <vt:lpstr>Mar</vt:lpstr>
      <vt:lpstr>May</vt:lpstr>
      <vt:lpstr>Nov</vt:lpstr>
      <vt:lpstr>Oct</vt:lpstr>
      <vt:lpstr>OntarioCalendar!Print_Area</vt:lpstr>
      <vt:lpstr>Sep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2010-2019 calendar (Mon-Sun)</dc:title>
  <dc:creator>User</dc:creator>
  <cp:lastModifiedBy>TOSHIBA WIN10</cp:lastModifiedBy>
  <cp:lastPrinted>2021-07-04T20:49:34Z</cp:lastPrinted>
  <dcterms:created xsi:type="dcterms:W3CDTF">2013-06-11T05:33:09Z</dcterms:created>
  <dcterms:modified xsi:type="dcterms:W3CDTF">2021-09-24T15:21:20Z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TC011629001033</vt:lpwstr>
  </property>
</Properties>
</file>